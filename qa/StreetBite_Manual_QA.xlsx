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709BB376-DB2D-44BA-B1A1-518E9E4665E1}" xr6:coauthVersionLast="47" xr6:coauthVersionMax="47" xr10:uidLastSave="{00000000-0000-0000-0000-000000000000}"/>
  <bookViews>
    <workbookView xWindow="0" yWindow="0" windowWidth="16384" windowHeight="8192" tabRatio="500" firstSheet="4" activeTab="4" xr2:uid="{00000000-000D-0000-FFFF-FFFF00000000}"/>
  </bookViews>
  <sheets>
    <sheet name="Legend" sheetId="1" r:id="rId1"/>
    <sheet name="TestCases" sheetId="2" r:id="rId2"/>
    <sheet name="Traceability" sheetId="3" r:id="rId3"/>
    <sheet name="DefectLog" sheetId="4" r:id="rId4"/>
    <sheet name="Summary" sheetId="5" r:id="rId5"/>
  </sheets>
  <definedNames>
    <definedName name="_xlnm._FilterDatabase" localSheetId="1" hidden="1">TestCases!$A$1:$P$42</definedName>
    <definedName name="o">TestCases!$A$1:$A$1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7" i="5" l="1"/>
  <c r="D37" i="5" s="1"/>
  <c r="D30" i="5"/>
  <c r="C30" i="5"/>
  <c r="D29" i="5"/>
  <c r="C29" i="5"/>
  <c r="D28" i="5"/>
  <c r="C28" i="5"/>
  <c r="D27" i="5"/>
  <c r="C36" i="5" s="1"/>
  <c r="D36" i="5" s="1"/>
  <c r="C27" i="5"/>
  <c r="F21" i="5"/>
  <c r="E21" i="5"/>
  <c r="D21" i="5"/>
  <c r="C21" i="5"/>
  <c r="G21" i="5" s="1"/>
  <c r="F20" i="5"/>
  <c r="E20" i="5"/>
  <c r="D20" i="5"/>
  <c r="C20" i="5"/>
  <c r="G20" i="5" s="1"/>
  <c r="F19" i="5"/>
  <c r="E19" i="5"/>
  <c r="D19" i="5"/>
  <c r="C19" i="5"/>
  <c r="G19" i="5" s="1"/>
  <c r="F18" i="5"/>
  <c r="E18" i="5"/>
  <c r="D18" i="5"/>
  <c r="C18" i="5"/>
  <c r="G18" i="5" s="1"/>
  <c r="F17" i="5"/>
  <c r="E17" i="5"/>
  <c r="D17" i="5"/>
  <c r="C17" i="5"/>
  <c r="G17" i="5" s="1"/>
  <c r="F16" i="5"/>
  <c r="E16" i="5"/>
  <c r="D16" i="5"/>
  <c r="C16" i="5"/>
  <c r="G16" i="5" s="1"/>
  <c r="F15" i="5"/>
  <c r="E15" i="5"/>
  <c r="D15" i="5"/>
  <c r="C22" i="5" s="1"/>
  <c r="C34" i="5" s="1"/>
  <c r="D34" i="5" s="1"/>
  <c r="C15" i="5"/>
  <c r="H14" i="3"/>
  <c r="G14" i="3"/>
  <c r="F14" i="3"/>
  <c r="E14" i="3"/>
  <c r="H13" i="3"/>
  <c r="G13" i="3"/>
  <c r="F13" i="3"/>
  <c r="E13" i="3"/>
  <c r="H12" i="3"/>
  <c r="G12" i="3"/>
  <c r="F12" i="3"/>
  <c r="E12" i="3"/>
  <c r="H11" i="3"/>
  <c r="G11" i="3"/>
  <c r="F11" i="3"/>
  <c r="E11" i="3"/>
  <c r="H10" i="3"/>
  <c r="G10" i="3"/>
  <c r="F10" i="3"/>
  <c r="E10" i="3"/>
  <c r="H9" i="3"/>
  <c r="G9" i="3"/>
  <c r="F9" i="3"/>
  <c r="E9" i="3"/>
  <c r="H8" i="3"/>
  <c r="G8" i="3"/>
  <c r="F8" i="3"/>
  <c r="E8" i="3"/>
  <c r="H7" i="3"/>
  <c r="G7" i="3"/>
  <c r="F7" i="3"/>
  <c r="E7" i="3"/>
  <c r="H6" i="3"/>
  <c r="G6" i="3"/>
  <c r="F6" i="3"/>
  <c r="E6" i="3"/>
  <c r="H5" i="3"/>
  <c r="G5" i="3"/>
  <c r="F5" i="3"/>
  <c r="E5" i="3"/>
  <c r="H4" i="3"/>
  <c r="G4" i="3"/>
  <c r="F4" i="3"/>
  <c r="E4" i="3"/>
  <c r="H3" i="3"/>
  <c r="G3" i="3"/>
  <c r="F3" i="3"/>
  <c r="E3" i="3"/>
  <c r="H2" i="3"/>
  <c r="G2" i="3"/>
  <c r="F2" i="3"/>
  <c r="E2" i="3"/>
  <c r="C38" i="5" l="1"/>
  <c r="D38" i="5" s="1"/>
  <c r="J2" i="3"/>
  <c r="I2" i="3"/>
  <c r="J3" i="3"/>
  <c r="I3" i="3"/>
  <c r="J4" i="3"/>
  <c r="I4" i="3"/>
  <c r="J5" i="3"/>
  <c r="I5" i="3"/>
  <c r="J6" i="3"/>
  <c r="I6" i="3"/>
  <c r="I7" i="3"/>
  <c r="J7" i="3" s="1"/>
  <c r="J8" i="3"/>
  <c r="I8" i="3"/>
  <c r="J9" i="3"/>
  <c r="I9" i="3"/>
  <c r="J10" i="3"/>
  <c r="I10" i="3"/>
  <c r="J11" i="3"/>
  <c r="I11" i="3"/>
  <c r="J12" i="3"/>
  <c r="I12" i="3"/>
  <c r="J13" i="3"/>
  <c r="I13" i="3"/>
  <c r="J14" i="3"/>
  <c r="I14" i="3"/>
  <c r="C23" i="5"/>
  <c r="C35" i="5" s="1"/>
  <c r="D35" i="5" s="1"/>
  <c r="G15" i="5"/>
  <c r="C39" i="5"/>
</calcChain>
</file>

<file path=xl/sharedStrings.xml><?xml version="1.0" encoding="utf-8"?>
<sst xmlns="http://schemas.openxmlformats.org/spreadsheetml/2006/main" count="861" uniqueCount="411">
  <si>
    <t>StreetBite V1.0 Manual QA workbook</t>
  </si>
  <si>
    <t>How to use it</t>
  </si>
  <si>
    <t>1.</t>
  </si>
  <si>
    <t>Go to the TestCases sheet and run each case on a real device.</t>
  </si>
  <si>
    <t>2.</t>
  </si>
  <si>
    <t>Fill only the yellow cells: Actual Result, Status, Device, Bug ID, Executed On.</t>
  </si>
  <si>
    <t>3.</t>
  </si>
  <si>
    <t>Status must be Pass, Fail or Blocked (a dropdown is provided). A blank Status counts as Not Run.</t>
  </si>
  <si>
    <t>4.</t>
  </si>
  <si>
    <t>Every Fail needs a Bug ID from Jira (for example SB-12). Add the same bug to the DefectLog sheet.</t>
  </si>
  <si>
    <t>5.</t>
  </si>
  <si>
    <t>Traceability and Summary are formulas. Edit only the yellow cells there.</t>
  </si>
  <si>
    <t>Status meanings</t>
  </si>
  <si>
    <t>Pass</t>
  </si>
  <si>
    <t>Actual result matches the expected result.</t>
  </si>
  <si>
    <t>Fail</t>
  </si>
  <si>
    <t>Actual result differs from the expected result. Log a bug.</t>
  </si>
  <si>
    <t>Blocked</t>
  </si>
  <si>
    <t>The case cannot be run (state cannot be reached, feature broken by another bug). Say why in Actual Result.</t>
  </si>
  <si>
    <t>Severity (impact on the user)</t>
  </si>
  <si>
    <t>Critical</t>
  </si>
  <si>
    <t>App crashes, data loss, or login impossible.</t>
  </si>
  <si>
    <t>High</t>
  </si>
  <si>
    <t>A main feature is broken with no workaround.</t>
  </si>
  <si>
    <t>Medium</t>
  </si>
  <si>
    <t>A feature works but wrongly, or a workaround exists.</t>
  </si>
  <si>
    <t>Low</t>
  </si>
  <si>
    <t>Cosmetic issue or minor text problem.</t>
  </si>
  <si>
    <t>Example of a filled row (format only, do not copy into TestCases)</t>
  </si>
  <si>
    <t>TC ID</t>
  </si>
  <si>
    <t>Actual Result</t>
  </si>
  <si>
    <t>Status</t>
  </si>
  <si>
    <t>Device</t>
  </si>
  <si>
    <t>Bug ID</t>
  </si>
  <si>
    <t>Executed On</t>
  </si>
  <si>
    <t>TC_LOGIN_011</t>
  </si>
  <si>
    <t>"Enter a valid email address" shown under the email field.</t>
  </si>
  <si>
    <t>Samsung SM-A366B</t>
  </si>
  <si>
    <t>-</t>
  </si>
  <si>
    <t>2026-10-17</t>
  </si>
  <si>
    <t>TC_HOME_009</t>
  </si>
  <si>
    <t>Badge stayed at 1 after the second tap.</t>
  </si>
  <si>
    <t>SB-12</t>
  </si>
  <si>
    <t>Suite</t>
  </si>
  <si>
    <t>Screen</t>
  </si>
  <si>
    <t>Type</t>
  </si>
  <si>
    <t>Req</t>
  </si>
  <si>
    <t>Priority</t>
  </si>
  <si>
    <t>Title</t>
  </si>
  <si>
    <t>Preconditions</t>
  </si>
  <si>
    <t>Steps</t>
  </si>
  <si>
    <t>Test Data</t>
  </si>
  <si>
    <t>Expected Result</t>
  </si>
  <si>
    <t>TC_LOGIN_001</t>
  </si>
  <si>
    <t>Login GUI</t>
  </si>
  <si>
    <t>Login</t>
  </si>
  <si>
    <t>GUI</t>
  </si>
  <si>
    <t>R-01</t>
  </si>
  <si>
    <t>Splash screen with fade-in</t>
  </si>
  <si>
    <t>App fully closed</t>
  </si>
  <si>
    <t>1. Launch the app.
2. Watch the first three seconds.</t>
  </si>
  <si>
    <t>Logo, "StreetBite" and the tagline "Street food, found fast" fade in. After about two seconds the Login screen opens (or Home if a session exists).</t>
  </si>
  <si>
    <t>The logo, 'StreetBite' and the tagline 'Street food, found fast' faded in, then the Login screen opened.</t>
  </si>
  <si>
    <t>2026-10-16</t>
  </si>
  <si>
    <t>TC_LOGIN_002</t>
  </si>
  <si>
    <t>R-13</t>
  </si>
  <si>
    <t>Login screen elements</t>
  </si>
  <si>
    <t>Logged out</t>
  </si>
  <si>
    <t>1. Open the app and wait for Login.
2. Review the whole screen.</t>
  </si>
  <si>
    <t>Logo, "Welcome back", the subtitle, Email and Password fields, the "Log in" button and the "New here? Create an account" link are visible and not cut off.</t>
  </si>
  <si>
    <t>Logo, 'Welcome back', 'Log in to find your next bite', the Email and Password fields (password with eye icon), the 'Log in' button and the 'New here? Create an account' link are all visible and not cut off. (Screenshot_20261016_000056.jpg)</t>
  </si>
  <si>
    <t>TC_LOGIN_003</t>
  </si>
  <si>
    <t>Password visibility toggle</t>
  </si>
  <si>
    <t>1. Type a password.
2. Tap the eye icon.
3. Tap it again.</t>
  </si>
  <si>
    <t>Password: Test1234</t>
  </si>
  <si>
    <t>Password is masked by default, readable after the first tap and masked again after the second.</t>
  </si>
  <si>
    <t>The password was masked at first, became visible after the first tap on the eye icon and was masked again after the second tap.</t>
  </si>
  <si>
    <t>TC_LOGIN_004</t>
  </si>
  <si>
    <t>R-10</t>
  </si>
  <si>
    <t>Login screen in dark mode</t>
  </si>
  <si>
    <t>Dark mode switched on inside the app before signing out</t>
  </si>
  <si>
    <t>1. Sign out.
2. Review the Login screen.</t>
  </si>
  <si>
    <t>Dark colours are applied, text and fields are readable, nothing has low contrast.</t>
  </si>
  <si>
    <t>The Login screen used the dark colours; the text and fields were readable with no low-contrast areas.</t>
  </si>
  <si>
    <t>TC_LOGIN_005</t>
  </si>
  <si>
    <t>R-11</t>
  </si>
  <si>
    <t>Login screen in Arabic (RTL)</t>
  </si>
  <si>
    <t>Arabic selected inside the app before signing out</t>
  </si>
  <si>
    <t>All text is Arabic, the layout is right to left, no text overflows or is cut off.</t>
  </si>
  <si>
    <t>The Login screen was fully Arabic and right to left, with no text clipped or overflowing.</t>
  </si>
  <si>
    <t>TC_LOGIN_006</t>
  </si>
  <si>
    <t>Login Positive</t>
  </si>
  <si>
    <t>Positive</t>
  </si>
  <si>
    <t>R-03</t>
  </si>
  <si>
    <t>Valid login opens Home</t>
  </si>
  <si>
    <t>Registered account exists</t>
  </si>
  <si>
    <t>1. Enter the email and password.
2. Tap "Log in".</t>
  </si>
  <si>
    <t>qa.tester@streetbite.test / Test1234</t>
  </si>
  <si>
    <t>The button shows a spinner, then Home opens with the greeting and meals. No error is shown.</t>
  </si>
  <si>
    <t>The button showed a spinner, then Home opened with the greeting and the meals; no error was shown.</t>
  </si>
  <si>
    <t>TC_LOGIN_007</t>
  </si>
  <si>
    <t>R-04</t>
  </si>
  <si>
    <t>Session survives an app restart</t>
  </si>
  <si>
    <t>Logged in successfully</t>
  </si>
  <si>
    <t>1. Close the app from recent apps.
2. Open it again.</t>
  </si>
  <si>
    <t>Splash shows, then Home opens directly without asking for credentials.</t>
  </si>
  <si>
    <t>After closing the app from Recent apps and reopening it, the Splash appeared and Home opened directly without asking for credentials.</t>
  </si>
  <si>
    <t>TC_LOGIN_008</t>
  </si>
  <si>
    <t>R-02</t>
  </si>
  <si>
    <t>Open Sign up and come back</t>
  </si>
  <si>
    <t>1. Tap "New here? Create an account".
2. Review the screen.
3. Press back.</t>
  </si>
  <si>
    <t>Sign up shows Full name, Email, Password and Confirm password fields and a "Sign up" button. Back returns to Login.</t>
  </si>
  <si>
    <t>The Sign up screen opened with Full name, Email, Password, Confirm password and the 'Sign up' button; Back returned to Login.</t>
  </si>
  <si>
    <t>TC_LOGIN_009</t>
  </si>
  <si>
    <t>Valid sign up logs the user in</t>
  </si>
  <si>
    <t>Email not registered yet</t>
  </si>
  <si>
    <t>1. Open Sign up.
2. Fill every field.
3. Tap "Sign up".</t>
  </si>
  <si>
    <t>Name: Test User
Email: qa.new1@streetbite.test
Password: Test1234 (both fields)</t>
  </si>
  <si>
    <t>The Sign up screen closes by itself and Home opens with "Hi, Test".</t>
  </si>
  <si>
    <t>The Sign up screen closed by itself and Home opened with 'Hi, Test'.</t>
  </si>
  <si>
    <t>TC_LOGIN_010</t>
  </si>
  <si>
    <t>Login Negative</t>
  </si>
  <si>
    <t>Negative</t>
  </si>
  <si>
    <t>Empty fields</t>
  </si>
  <si>
    <t>1. Leave both fields empty.
2. Tap "Log in".</t>
  </si>
  <si>
    <t>"Please enter your email" and "Please enter a password" appear under the fields. The user stays on Login.</t>
  </si>
  <si>
    <t>'Please enter your email' and 'Please enter a password' appeared under the fields; the user stayed on Login.</t>
  </si>
  <si>
    <t>Invalid email format</t>
  </si>
  <si>
    <t>1. Enter a malformed email and a valid password.
2. Tap "Log in".</t>
  </si>
  <si>
    <t>Email: abc
Password: Test1234</t>
  </si>
  <si>
    <t>"Enter a valid email address" appears. No request is sent.</t>
  </si>
  <si>
    <t>'Enter a valid email address' appeared under the Email field when a malformed email ('g') was entered. (Screenshot_20261016_000114.jpg)</t>
  </si>
  <si>
    <t>TC_LOGIN_012</t>
  </si>
  <si>
    <t>Wrong password</t>
  </si>
  <si>
    <t>1. Enter the registered email with a wrong password.
2. Tap "Log in".</t>
  </si>
  <si>
    <t>Email: qa.tester@streetbite.test
Password: WrongPass123</t>
  </si>
  <si>
    <t>A SnackBar shows "Wrong email or password." The user stays on Login and the fields keep their text.</t>
  </si>
  <si>
    <t>A SnackBar 'Wrong email or password.' appeared; the user stayed on Login and both fields kept their text. (Screenshot_20261016_000347.jpg)</t>
  </si>
  <si>
    <t>TC_LOGIN_013</t>
  </si>
  <si>
    <t>Unregistered email</t>
  </si>
  <si>
    <t>1. Enter an email that was never registered.
2. Tap "Log in".</t>
  </si>
  <si>
    <t>Email: nobody@streetbite.test
Password: WrongPass123</t>
  </si>
  <si>
    <t>A SnackBar shows "Wrong email or password." The user stays on Login.</t>
  </si>
  <si>
    <t>A SnackBar 'Wrong email or password.' appeared and the user stayed on Login.</t>
  </si>
  <si>
    <t>TC_LOGIN_014</t>
  </si>
  <si>
    <t>Sign up with lowercase first letter</t>
  </si>
  <si>
    <t>Sign up screen open</t>
  </si>
  <si>
    <t>1. Enter a name starting with a lowercase letter.
2. Fill the other fields correctly.
3. Tap "Sign up".</t>
  </si>
  <si>
    <t>Name: ahmed</t>
  </si>
  <si>
    <t>"The first letter of your name must be capital" appears. No account is created.</t>
  </si>
  <si>
    <t>With the name 'shahd khaled desouky' (lowercase first letter), 'The first letter of your name must be capital' appeared under Full name. (Screenshot_20261016_000216.jpg)</t>
  </si>
  <si>
    <t>TC_LOGIN_015</t>
  </si>
  <si>
    <t>Sign up with a short password</t>
  </si>
  <si>
    <t>1. Enter a five character password in both password fields.
2. Tap "Sign up".</t>
  </si>
  <si>
    <t>Password: 12345</t>
  </si>
  <si>
    <t>"Password must be at least 6 characters" appears.</t>
  </si>
  <si>
    <t>With a short password (2 characters), 'Password must be at least 6 characters' appeared under the Password field. (Screenshot_20261016_000216.jpg)</t>
  </si>
  <si>
    <t>TC_LOGIN_016</t>
  </si>
  <si>
    <t>Sign up with mismatched confirmation</t>
  </si>
  <si>
    <t>1. Enter different values in Password and Confirm password.
2. Tap "Sign up".</t>
  </si>
  <si>
    <t>Password: Test1234
Confirm: Test12345</t>
  </si>
  <si>
    <t>"Passwords do not match" appears under Confirm password.</t>
  </si>
  <si>
    <t>With different values in Password and Confirm password, 'Passwords do not match' appeared under Confirm password. (Screenshot_20261016_000216.jpg)</t>
  </si>
  <si>
    <t>TC_LOGIN_017</t>
  </si>
  <si>
    <t>Sign up with an existing email</t>
  </si>
  <si>
    <t>1. Fill Sign up using the existing email.
2. Tap "Sign up".</t>
  </si>
  <si>
    <t>Email: qa.tester@streetbite.test</t>
  </si>
  <si>
    <t>A SnackBar shows "This email is already registered." The user stays on Sign up.</t>
  </si>
  <si>
    <t>A SnackBar 'This email is already registered.' appeared and the user stayed on Sign up.</t>
  </si>
  <si>
    <t>TC_LOGIN_018</t>
  </si>
  <si>
    <t>Login General Mobile</t>
  </si>
  <si>
    <t>General Mobile</t>
  </si>
  <si>
    <t>Login without internet</t>
  </si>
  <si>
    <t>Airplane mode on</t>
  </si>
  <si>
    <t>1. Enter valid credentials.
2. Tap "Log in".</t>
  </si>
  <si>
    <t>A SnackBar shows "No internet connection. Check your network and try again." The app does not crash and the button becomes active again.</t>
  </si>
  <si>
    <t>A SnackBar 'No internet connection. Check your network and try again.' appeared, the app did not crash and the button became active again.</t>
  </si>
  <si>
    <t>TC_LOGIN_019</t>
  </si>
  <si>
    <t>Double tap on Log in</t>
  </si>
  <si>
    <t>Internet on</t>
  </si>
  <si>
    <t>1. Enter valid credentials.
2. Tap "Log in" twice quickly.</t>
  </si>
  <si>
    <t>Only one request runs, the button is disabled with a spinner meanwhile, and Home opens once.</t>
  </si>
  <si>
    <t>Only one login request ran: the button was disabled with a spinner while logging in and Home opened once.</t>
  </si>
  <si>
    <t>TC_LOGIN_020</t>
  </si>
  <si>
    <t>Android back button on Login</t>
  </si>
  <si>
    <t>Logged out, Login screen visible</t>
  </si>
  <si>
    <t>1. Press the system back button.</t>
  </si>
  <si>
    <t>The app closes cleanly with no crash or blank screen.</t>
  </si>
  <si>
    <t>Pressing the system Back button on Login closed the app cleanly with no crash or blank screen.</t>
  </si>
  <si>
    <t>TC_HOME_001</t>
  </si>
  <si>
    <t>Home GUI</t>
  </si>
  <si>
    <t>Home</t>
  </si>
  <si>
    <t>R-05</t>
  </si>
  <si>
    <t>Home screen elements</t>
  </si>
  <si>
    <t>Logged in, meals loaded</t>
  </si>
  <si>
    <t>1. Review the whole Home screen from top to bottom.</t>
  </si>
  <si>
    <t>Greeting and subtitle, banner, "Hot Offers", "Explore meals" grid, app bar with logo, language button and theme icon, and the four bottom tabs are visible.</t>
  </si>
  <si>
    <t>Home shows the logo, the 'العربية' language button and the theme icon in the app bar, 'Hi, Shahd' with 'What are you craving today?', the featured banner, 'Hot Offers', the 'Explore meals' grid and the four bottom tabs (Home, Vendors, Cart, Profile). (Screenshot_20261016_000422.jpg, Screenshot_20261016_000522.jpg)</t>
  </si>
  <si>
    <t>TC_HOME_002</t>
  </si>
  <si>
    <t>Banner swipe</t>
  </si>
  <si>
    <t>Home loaded</t>
  </si>
  <si>
    <t>1. Swipe the banner left and right.</t>
  </si>
  <si>
    <t>Five featured meals are shown, each with image, name and category. The pager snaps to each card.</t>
  </si>
  <si>
    <t>Five featured meals were shown, each with image, name and category; the pager snapped on each card.</t>
  </si>
  <si>
    <t>TC_HOME_003</t>
  </si>
  <si>
    <t>R-09</t>
  </si>
  <si>
    <t>Hot Offers list</t>
  </si>
  <si>
    <t>1. Scroll the Hot Offers row horizontally.
2. Count the cards.</t>
  </si>
  <si>
    <t>Exactly five cards, each with image, name and price. The row scrolls smoothly.</t>
  </si>
  <si>
    <t>The Hot Offers row scrolled smoothly and contained exactly five cards, each with image, name and price.</t>
  </si>
  <si>
    <t>TC_HOME_004</t>
  </si>
  <si>
    <t>R-08</t>
  </si>
  <si>
    <t>Two-column meals grid</t>
  </si>
  <si>
    <t>1. Scroll down to "Explore meals".
2. Check several cards, including long names.</t>
  </si>
  <si>
    <t>Two columns. Each card shows image, name (up to two lines), category, price and the add button. No text overflows.</t>
  </si>
  <si>
    <t>The grid shows two columns; each card has the image, name (two lines for long names), category, price in EGP and a cart button. No text overflows. (Screenshot_20261016_000522.jpg)</t>
  </si>
  <si>
    <t>TC_HOME_005</t>
  </si>
  <si>
    <t>Dark mode on Home</t>
  </si>
  <si>
    <t>1. Tap the theme icon.
2. Review Home.
3. Tap it again.</t>
  </si>
  <si>
    <t>Home switches to dark with readable text, then back to light.</t>
  </si>
  <si>
    <t>Home switched to dark mode with readable text, then returned to light mode.</t>
  </si>
  <si>
    <t>TC_HOME_006</t>
  </si>
  <si>
    <t>Arabic and RTL on Home</t>
  </si>
  <si>
    <t>Home loaded, English</t>
  </si>
  <si>
    <t>1. Tap the "العربية" button.
2. Review Home.
3. Tap "English".</t>
  </si>
  <si>
    <t>All text is Arabic, the layout is right to left, prices end with ج.م, and the toggle now reads "English". Switching back restores English.</t>
  </si>
  <si>
    <t>The app text turned Arabic (meal names and categories from the API stay in English), the layout was right to left, prices ended with the Arabic currency abbreviation and the toggle read 'English'; switching back restored English.</t>
  </si>
  <si>
    <t>TC_HOME_007</t>
  </si>
  <si>
    <t>Home Positive</t>
  </si>
  <si>
    <t>R-06</t>
  </si>
  <si>
    <t>Meals load on first launch</t>
  </si>
  <si>
    <t>Logged in, internet on</t>
  </si>
  <si>
    <t>1. Log in and watch Home.</t>
  </si>
  <si>
    <t>A spinner shows first, then the banner, Hot Offers and the grid are filled with meals.</t>
  </si>
  <si>
    <t>A spinner showed first, then the banner, Hot Offers and the grid were filled with meals.</t>
  </si>
  <si>
    <t>TC_HOME_008</t>
  </si>
  <si>
    <t>Add a meal to the cart from the grid</t>
  </si>
  <si>
    <t>1. Tap the add button on any card.
2. Look at the Cart tab icon.</t>
  </si>
  <si>
    <t>A SnackBar shows "&lt;meal name&gt; added to cart" and the cart badge shows 1.</t>
  </si>
  <si>
    <t>A SnackBar '&lt;meal name&gt; added to cart' appeared and the cart badge showed 1.</t>
  </si>
  <si>
    <t>Add the same meal twice</t>
  </si>
  <si>
    <t>Cart empty</t>
  </si>
  <si>
    <t>1. Tap add twice on the same card.
2. Open the Cart tab.</t>
  </si>
  <si>
    <t>Badge shows 2 and the cart has one line with "Qty: 2".</t>
  </si>
  <si>
    <t>The badge showed 2 and the Cart had one line with 'Qty: 2'.</t>
  </si>
  <si>
    <t>TC_HOME_010</t>
  </si>
  <si>
    <t>R-12</t>
  </si>
  <si>
    <t>Open details from a grid card</t>
  </si>
  <si>
    <t>1. Tap a meal card.
2. Press back.</t>
  </si>
  <si>
    <t>Meal Details open with image, name, category, origin and instructions. Back returns to Home.</t>
  </si>
  <si>
    <t>Meal Details opened with image, name, category, origin and instructions; Back returned to Home.</t>
  </si>
  <si>
    <t>TC_HOME_011</t>
  </si>
  <si>
    <t>Open details from banner and Hot Offers</t>
  </si>
  <si>
    <t>1. Tap a banner item.
2. Go back and tap a Hot Offers card.</t>
  </si>
  <si>
    <t>Details open for the tapped meal each time.</t>
  </si>
  <si>
    <t>Meal Details opened for the tapped meal, both from the banner and from Hot Offers.</t>
  </si>
  <si>
    <t>TC_HOME_012</t>
  </si>
  <si>
    <t>Pull to refresh</t>
  </si>
  <si>
    <t>1. Pull down from the top of Home.</t>
  </si>
  <si>
    <t>A refresh indicator shows, then the meals stay displayed.</t>
  </si>
  <si>
    <t>A refresh indicator appeared and the meals stayed displayed.</t>
  </si>
  <si>
    <t>TC_HOME_013</t>
  </si>
  <si>
    <t>Scroll the whole grid</t>
  </si>
  <si>
    <t>1. Scroll to the very bottom of the grid.</t>
  </si>
  <si>
    <t>All meals are reachable, images load and the scroll stays smooth.</t>
  </si>
  <si>
    <t>All meals were reachable at the bottom of the grid, the images loaded and the scroll stayed smooth.</t>
  </si>
  <si>
    <t>TC_HOME_014</t>
  </si>
  <si>
    <t>R-07</t>
  </si>
  <si>
    <t>Cached meals while offline</t>
  </si>
  <si>
    <t>Meals loaded at least once</t>
  </si>
  <si>
    <t>1. Turn on airplane mode.
2. Force close the app.
3. Open it again.</t>
  </si>
  <si>
    <t>Meals still appear from the cache and no error is shown.</t>
  </si>
  <si>
    <t>Offline after a force close, the meals were shown from the cache but without their photos. (Screenshot: TC_HOME_014.png)</t>
  </si>
  <si>
    <t>SB-1</t>
  </si>
  <si>
    <t>TC_HOME_015</t>
  </si>
  <si>
    <t>Theme and language persist</t>
  </si>
  <si>
    <t>1. Switch to dark mode and Arabic.
2. Force close and reopen the app.</t>
  </si>
  <si>
    <t>Dark mode and Arabic are still applied after the restart.</t>
  </si>
  <si>
    <t>Dark mode and Arabic were still applied after force-closing and reopening the app.</t>
  </si>
  <si>
    <t>TC_HOME_016</t>
  </si>
  <si>
    <t>Home Negative</t>
  </si>
  <si>
    <t>Meal service unreachable with no cache</t>
  </si>
  <si>
    <t>Meal API cannot be reached and no cache exists (if this state cannot be produced, mark Blocked and say why)</t>
  </si>
  <si>
    <t>1. Open Home in that state.
2. Tap "Try again" once the service is back.</t>
  </si>
  <si>
    <t>A friendly message and a "Try again" button show instead of a crash. After retry the meals load.</t>
  </si>
  <si>
    <t>Cannot be produced: meals are cached after the first load and the meal API is reachable. After clearing the app cache, going offline (internet off or Airplane mode) showed the same result as TC_HOME_014, and the meals appeared once the network was back.</t>
  </si>
  <si>
    <t>TC_HOME_017</t>
  </si>
  <si>
    <t>Rapid taps on the add button</t>
  </si>
  <si>
    <t>1. Tap the add button ten times quickly.</t>
  </si>
  <si>
    <t>The app stays responsive, the badge counts every tap, and SnackBars replace each other instead of stacking.</t>
  </si>
  <si>
    <t>The app stayed responsive, the badge counted every tap and the SnackBars replaced each other instead of stacking.</t>
  </si>
  <si>
    <t>TC_HOME_018</t>
  </si>
  <si>
    <t>Add to cart while offline</t>
  </si>
  <si>
    <t>Home loaded, then airplane mode on</t>
  </si>
  <si>
    <t>1. Tap add on a card.</t>
  </si>
  <si>
    <t>The meal is added to the cart, the SnackBar shows and the badge increases.</t>
  </si>
  <si>
    <t>While offline, tapping add put the meal in the cart, the SnackBar appeared and the badge increased.</t>
  </si>
  <si>
    <t>TC_HOME_019</t>
  </si>
  <si>
    <t>Home General Mobile</t>
  </si>
  <si>
    <t>Background and resume</t>
  </si>
  <si>
    <t>1. Press the system Home button.
2. Wait one minute.
3. Reopen the app.</t>
  </si>
  <si>
    <t>Home is still shown with its scroll position and no crash.</t>
  </si>
  <si>
    <t>After one minute in the background, Home was shown at the same scroll position with no crash.</t>
  </si>
  <si>
    <t>TC_HOME_020</t>
  </si>
  <si>
    <t>Rotate the device</t>
  </si>
  <si>
    <t>1. Rotate to landscape.
2. Rotate back.</t>
  </si>
  <si>
    <t>No crash or overflow error. The layout adapts and returns to normal.</t>
  </si>
  <si>
    <t>Rotating to landscape and back caused no crash or overflow error; the layout adapted and returned to normal.</t>
  </si>
  <si>
    <t>TC_HOME_021</t>
  </si>
  <si>
    <t>Switch tabs and return</t>
  </si>
  <si>
    <t>Home loaded, one item in cart</t>
  </si>
  <si>
    <t>1. Open Vendors, then Cart, then Home.</t>
  </si>
  <si>
    <t>Home shows its meals without an error and the cart badge keeps its count.</t>
  </si>
  <si>
    <t>Home showed its meals without an error after switching tabs and returning; the cart badge kept its count.</t>
  </si>
  <si>
    <t>Req ID</t>
  </si>
  <si>
    <t>Requirement</t>
  </si>
  <si>
    <t>Assignment section</t>
  </si>
  <si>
    <t>Test case IDs</t>
  </si>
  <si>
    <t>Total</t>
  </si>
  <si>
    <t>Passed</t>
  </si>
  <si>
    <t>Failed</t>
  </si>
  <si>
    <t>Not Run</t>
  </si>
  <si>
    <t>Coverage status</t>
  </si>
  <si>
    <t>Splash/onboarding screen with a fade-in animation</t>
  </si>
  <si>
    <t>Onboarding, Login and Sign Up</t>
  </si>
  <si>
    <t>Sign-up validation: full name with capital first letter, email, password of at least six characters, password confirmation</t>
  </si>
  <si>
    <t>TC_LOGIN_008, TC_LOGIN_009, TC_LOGIN_014, TC_LOGIN_015, TC_LOGIN_016, TC_LOGIN_017</t>
  </si>
  <si>
    <t>Firebase Authentication login with friendly error messages</t>
  </si>
  <si>
    <t>TC_LOGIN_006, TC_LOGIN_010, TC_LOGIN_011, TC_LOGIN_012, TC_LOGIN_013, TC_LOGIN_018, TC_LOGIN_019</t>
  </si>
  <si>
    <t>Authentication state persists across app restarts</t>
  </si>
  <si>
    <t>Home screen responsive layout (MediaQuery) with a PageView banner of featured meals</t>
  </si>
  <si>
    <t>Home Screen and Live Menu</t>
  </si>
  <si>
    <t>TC_HOME_001, TC_HOME_002, TC_HOME_019, TC_HOME_020, TC_HOME_021</t>
  </si>
  <si>
    <t>Meals fetched from TheMealDB with Dio, with loading and friendly error states</t>
  </si>
  <si>
    <t>TC_HOME_007, TC_HOME_012, TC_HOME_016</t>
  </si>
  <si>
    <t>Meal data cached with shared_preferences and restored on restart</t>
  </si>
  <si>
    <t>Two-column meals grid with Add to Cart action and SnackBar</t>
  </si>
  <si>
    <t>TC_HOME_004, TC_HOME_008, TC_HOME_009, TC_HOME_013, TC_HOME_017, TC_HOME_018</t>
  </si>
  <si>
    <t>Horizontal Hot Offers list with five items</t>
  </si>
  <si>
    <t>Light and dark theme toggle connected to ThemeBloc</t>
  </si>
  <si>
    <t>TC_LOGIN_004, TC_HOME_005, TC_HOME_015</t>
  </si>
  <si>
    <t>Runtime English/Arabic toggle with every visible string localized</t>
  </si>
  <si>
    <t>English and Arabic Localization</t>
  </si>
  <si>
    <t>TC_LOGIN_005, TC_HOME_006</t>
  </si>
  <si>
    <t>Meal details open from a meal card with the selected meal passed as an argument</t>
  </si>
  <si>
    <t>Meal Details and Favourites</t>
  </si>
  <si>
    <t>TC_HOME_010, TC_HOME_011</t>
  </si>
  <si>
    <t>Login screen layout: logo, fields, password visibility and sign-up link</t>
  </si>
  <si>
    <t>TC_LOGIN_002, TC_LOGIN_003, TC_LOGIN_020</t>
  </si>
  <si>
    <t>Note: the Test case IDs column is plain text built from the Req column in TestCases. If you change a Req value there, update this column by hand. All counts are live formulas.</t>
  </si>
  <si>
    <t>Jira key</t>
  </si>
  <si>
    <t>Linked TC</t>
  </si>
  <si>
    <t>Severity</t>
  </si>
  <si>
    <t>Found on</t>
  </si>
  <si>
    <t>Screenshot file</t>
  </si>
  <si>
    <t>Cached meals are shown without photos when the phone is offline</t>
  </si>
  <si>
    <t>Open</t>
  </si>
  <si>
    <t>TC_HOME_014.png</t>
  </si>
  <si>
    <t>Test execution summary and closure</t>
  </si>
  <si>
    <t>Scope and environment</t>
  </si>
  <si>
    <t>Application</t>
  </si>
  <si>
    <t>StreetBite V1.0 (1.0.0+1)</t>
  </si>
  <si>
    <t>Build under test</t>
  </si>
  <si>
    <t>Debug APK</t>
  </si>
  <si>
    <t>Primary device</t>
  </si>
  <si>
    <t>Samsung SM-A366B (real device)</t>
  </si>
  <si>
    <t>Secondary device</t>
  </si>
  <si>
    <t>Android emulator</t>
  </si>
  <si>
    <t>Tester</t>
  </si>
  <si>
    <t>Shahd Zain</t>
  </si>
  <si>
    <t>Test period</t>
  </si>
  <si>
    <t>2026-10-16 to 2026-10-18</t>
  </si>
  <si>
    <t>Defect tracker</t>
  </si>
  <si>
    <t>Jira</t>
  </si>
  <si>
    <t>Yellow cells above are assumptions taken from the project setup. Edit them if they changed.</t>
  </si>
  <si>
    <t>Execution results</t>
  </si>
  <si>
    <t>Group</t>
  </si>
  <si>
    <t>Not run</t>
  </si>
  <si>
    <t>All cases</t>
  </si>
  <si>
    <t>Screen: Login</t>
  </si>
  <si>
    <t>Screen: Home</t>
  </si>
  <si>
    <t>Type: GUI</t>
  </si>
  <si>
    <t>Type: Positive</t>
  </si>
  <si>
    <t>Type: Negative</t>
  </si>
  <si>
    <t>Type: General Mobile</t>
  </si>
  <si>
    <t>Pass rate (of executed cases)</t>
  </si>
  <si>
    <t>Executed (Pass + Fail + Blocked)</t>
  </si>
  <si>
    <t>Defects (from DefectLog)</t>
  </si>
  <si>
    <t>Not closed</t>
  </si>
  <si>
    <t>Exit criteria</t>
  </si>
  <si>
    <t>Criterion</t>
  </si>
  <si>
    <t>Target</t>
  </si>
  <si>
    <t>Actual</t>
  </si>
  <si>
    <t>Result</t>
  </si>
  <si>
    <t>Minimum pass rate</t>
  </si>
  <si>
    <t>All planned cases executed</t>
  </si>
  <si>
    <t>No open Critical or High defects</t>
  </si>
  <si>
    <t>Every Fail has a Bug ID</t>
  </si>
  <si>
    <t>Every requirement has at least one case</t>
  </si>
  <si>
    <t>Overall exit decision</t>
  </si>
  <si>
    <t>Closure summary (fill in after execution)</t>
  </si>
  <si>
    <t>Overall outcome</t>
  </si>
  <si>
    <t>41 cases were executed on the Samsung SM-A366B: 39 Pass, 1 Fail and 1 Blocked (pass rate 95.1%). All exit criteria are met.</t>
  </si>
  <si>
    <t>Main findings</t>
  </si>
  <si>
    <t>Login (validation, wrong and unknown credentials, session persistence, offline message) and Home (banner, Hot Offers, grid, cart, theme and language, cache) behave as specified. One defect was found: SB-1, cached meals are shown without photos when the phone is offline (TC_HOME_014). The smoke checklists from the Test Plan (Meal Details, Cart, Vendor Map and Profile) were also run on the Samsung SM-A366B and worked as described; no defects were found there.</t>
  </si>
  <si>
    <t>Open risks and known issues</t>
  </si>
  <si>
    <t>SB-1 is open (Medium severity, Low priority). TC_HOME_016 (meal service down with no cache) is Blocked because meals are cached after the first load and the meal API is reachable, so that error state could not be produced. Only one physical device was used.</t>
  </si>
  <si>
    <t>Recommendation</t>
  </si>
  <si>
    <t>Ready for the beta release. Cache the meal photos so that Home looks complete offline, then re-test TC_HOME_014 on the same device.</t>
  </si>
  <si>
    <t>Sign-off (name and date)</t>
  </si>
  <si>
    <t>Name : shahd zain , Date : 10/18/2026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</si>
</sst>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6">
    <font>
      <sz val="11"/>
      <color theme="1"/>
      <name val="Calibri"/>
      <family val="2"/>
      <charset val="1"/>
    </font>
    <font>
      <b/>
      <sz val="14"/>
      <color rgb="FFB8420A"/>
      <name val="Arial"/>
      <charset val="1"/>
    </font>
    <font>
      <b/>
      <sz val="10"/>
      <name val="Arial"/>
      <charset val="1"/>
    </font>
    <font>
      <sz val="10"/>
      <name val="Arial"/>
      <charset val="1"/>
    </font>
    <font>
      <b/>
      <sz val="10"/>
      <color rgb="FFFFFFFF"/>
      <name val="Arial"/>
      <charset val="1"/>
    </font>
    <font>
      <i/>
      <sz val="9"/>
      <name val="Arial"/>
      <charset val="1"/>
    </font>
  </fonts>
  <fills count="4">
    <fill>
      <patternFill patternType="none"/>
    </fill>
    <fill>
      <patternFill patternType="gray125"/>
    </fill>
    <fill>
      <patternFill patternType="solid">
        <fgColor rgb="FFB8420A"/>
        <bgColor rgb="FF993366"/>
      </patternFill>
    </fill>
    <fill>
      <patternFill patternType="solid">
        <fgColor rgb="FFFFF2A8"/>
        <bgColor rgb="FFFFFF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0" fillId="0" borderId="0" xfId="0" applyAlignment="1"/>
    <xf numFmtId="0" fontId="1" fillId="0" borderId="0" xfId="0" applyFont="1" applyAlignment="1"/>
    <xf numFmtId="0" fontId="2" fillId="0" borderId="0" xfId="0" applyFont="1" applyAlignment="1"/>
    <xf numFmtId="0" fontId="0" fillId="0" borderId="0" xfId="0" applyAlignment="1">
      <alignment vertical="top" wrapText="1"/>
    </xf>
    <xf numFmtId="0" fontId="3" fillId="0" borderId="0" xfId="0" applyFont="1" applyAlignment="1"/>
    <xf numFmtId="0" fontId="3" fillId="0" borderId="0" xfId="0" applyFont="1" applyAlignment="1">
      <alignment vertical="top" wrapText="1"/>
    </xf>
    <xf numFmtId="0" fontId="4" fillId="2" borderId="1" xfId="0" applyFont="1" applyFill="1" applyBorder="1" applyAlignment="1"/>
    <xf numFmtId="0" fontId="3" fillId="0" borderId="1" xfId="0" applyFont="1" applyBorder="1" applyAlignment="1">
      <alignment vertical="top" wrapText="1"/>
    </xf>
    <xf numFmtId="164" fontId="3" fillId="3" borderId="1" xfId="0" applyNumberFormat="1" applyFont="1" applyFill="1" applyBorder="1" applyAlignment="1">
      <alignment vertical="top" wrapText="1"/>
    </xf>
    <xf numFmtId="0" fontId="5" fillId="0" borderId="0" xfId="0" applyFont="1" applyAlignment="1"/>
    <xf numFmtId="165" fontId="3" fillId="0" borderId="1" xfId="0" applyNumberFormat="1" applyFont="1" applyBorder="1" applyAlignment="1">
      <alignment horizontal="center" vertical="top" wrapText="1"/>
    </xf>
    <xf numFmtId="9" fontId="3" fillId="3" borderId="1" xfId="0" applyNumberFormat="1" applyFont="1" applyFill="1" applyBorder="1" applyAlignment="1">
      <alignment horizontal="center" vertical="top" wrapText="1"/>
    </xf>
    <xf numFmtId="9"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xf>
    <xf numFmtId="0" fontId="3" fillId="3" borderId="1" xfId="0" applyFont="1" applyFill="1" applyBorder="1" applyAlignment="1">
      <alignmen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4" fillId="2" borderId="1" xfId="0" applyFont="1" applyFill="1" applyBorder="1" applyAlignment="1">
      <alignment horizontal="center" vertical="top" wrapText="1"/>
    </xf>
    <xf numFmtId="0" fontId="3" fillId="3" borderId="1" xfId="0" applyFont="1" applyFill="1" applyBorder="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B8420A"/>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opLeftCell="A3" zoomScaleNormal="100" workbookViewId="0">
      <selection activeCell="E21" sqref="E21"/>
    </sheetView>
  </sheetViews>
  <sheetFormatPr defaultColWidth="8.7109375" defaultRowHeight="15"/>
  <cols>
    <col min="1" max="1" width="16" style="1" customWidth="1"/>
    <col min="2" max="2" width="70" style="1" customWidth="1"/>
    <col min="3" max="6" width="20" style="1" customWidth="1"/>
  </cols>
  <sheetData>
    <row r="1" spans="1:2" ht="17.25" customHeight="1">
      <c r="A1" s="2" t="s">
        <v>0</v>
      </c>
    </row>
    <row r="3" spans="1:2" ht="15" customHeight="1">
      <c r="A3" s="3" t="s">
        <v>1</v>
      </c>
      <c r="B3" s="4"/>
    </row>
    <row r="4" spans="1:2" ht="15" customHeight="1">
      <c r="A4" s="5" t="s">
        <v>2</v>
      </c>
      <c r="B4" s="6" t="s">
        <v>3</v>
      </c>
    </row>
    <row r="5" spans="1:2" ht="15" customHeight="1">
      <c r="A5" s="5" t="s">
        <v>4</v>
      </c>
      <c r="B5" s="6" t="s">
        <v>5</v>
      </c>
    </row>
    <row r="6" spans="1:2" ht="23.25" customHeight="1">
      <c r="A6" s="5" t="s">
        <v>6</v>
      </c>
      <c r="B6" s="6" t="s">
        <v>7</v>
      </c>
    </row>
    <row r="7" spans="1:2" ht="23.25" customHeight="1">
      <c r="A7" s="5" t="s">
        <v>8</v>
      </c>
      <c r="B7" s="6" t="s">
        <v>9</v>
      </c>
    </row>
    <row r="8" spans="1:2" ht="15" customHeight="1">
      <c r="A8" s="5" t="s">
        <v>10</v>
      </c>
      <c r="B8" s="6" t="s">
        <v>11</v>
      </c>
    </row>
    <row r="9" spans="1:2" ht="15" customHeight="1">
      <c r="A9" s="5"/>
      <c r="B9" s="4"/>
    </row>
    <row r="10" spans="1:2" ht="15" customHeight="1">
      <c r="A10" s="3" t="s">
        <v>12</v>
      </c>
      <c r="B10" s="4"/>
    </row>
    <row r="11" spans="1:2" ht="15" customHeight="1">
      <c r="A11" s="3" t="s">
        <v>13</v>
      </c>
      <c r="B11" s="6" t="s">
        <v>14</v>
      </c>
    </row>
    <row r="12" spans="1:2" ht="15" customHeight="1">
      <c r="A12" s="3" t="s">
        <v>15</v>
      </c>
      <c r="B12" s="6" t="s">
        <v>16</v>
      </c>
    </row>
    <row r="13" spans="1:2" ht="23.25" customHeight="1">
      <c r="A13" s="3" t="s">
        <v>17</v>
      </c>
      <c r="B13" s="6" t="s">
        <v>18</v>
      </c>
    </row>
    <row r="14" spans="1:2" ht="15" customHeight="1">
      <c r="A14" s="5"/>
      <c r="B14" s="4"/>
    </row>
    <row r="15" spans="1:2" ht="15" customHeight="1">
      <c r="A15" s="3" t="s">
        <v>19</v>
      </c>
      <c r="B15" s="4"/>
    </row>
    <row r="16" spans="1:2" ht="15" customHeight="1">
      <c r="A16" s="3" t="s">
        <v>20</v>
      </c>
      <c r="B16" s="6" t="s">
        <v>21</v>
      </c>
    </row>
    <row r="17" spans="1:6" ht="15" customHeight="1">
      <c r="A17" s="3" t="s">
        <v>22</v>
      </c>
      <c r="B17" s="6" t="s">
        <v>23</v>
      </c>
    </row>
    <row r="18" spans="1:6" ht="15" customHeight="1">
      <c r="A18" s="3" t="s">
        <v>24</v>
      </c>
      <c r="B18" s="6" t="s">
        <v>25</v>
      </c>
    </row>
    <row r="19" spans="1:6" ht="15" customHeight="1">
      <c r="A19" s="3" t="s">
        <v>26</v>
      </c>
      <c r="B19" s="6" t="s">
        <v>27</v>
      </c>
    </row>
    <row r="21" spans="1:6" ht="15" customHeight="1">
      <c r="A21" s="3" t="s">
        <v>28</v>
      </c>
    </row>
    <row r="22" spans="1:6" ht="15" customHeight="1">
      <c r="A22" s="7" t="s">
        <v>29</v>
      </c>
      <c r="B22" s="7" t="s">
        <v>30</v>
      </c>
      <c r="C22" s="7" t="s">
        <v>31</v>
      </c>
      <c r="D22" s="7" t="s">
        <v>32</v>
      </c>
      <c r="E22" s="7" t="s">
        <v>33</v>
      </c>
      <c r="F22" s="7" t="s">
        <v>34</v>
      </c>
    </row>
    <row r="23" spans="1:6" ht="15" customHeight="1">
      <c r="A23" s="15" t="s">
        <v>35</v>
      </c>
      <c r="B23" s="15" t="s">
        <v>36</v>
      </c>
      <c r="C23" s="15" t="s">
        <v>13</v>
      </c>
      <c r="D23" s="15" t="s">
        <v>37</v>
      </c>
      <c r="E23" s="15" t="s">
        <v>38</v>
      </c>
      <c r="F23" s="15" t="s">
        <v>39</v>
      </c>
    </row>
    <row r="24" spans="1:6" ht="15" customHeight="1">
      <c r="A24" s="15" t="s">
        <v>40</v>
      </c>
      <c r="B24" s="15" t="s">
        <v>41</v>
      </c>
      <c r="C24" s="15" t="s">
        <v>15</v>
      </c>
      <c r="D24" s="15" t="s">
        <v>37</v>
      </c>
      <c r="E24" s="15" t="s">
        <v>42</v>
      </c>
      <c r="F24" s="15"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Normal="100" workbookViewId="0">
      <pane xSplit="2" ySplit="1" topLeftCell="C29" activePane="bottomRight" state="frozen"/>
      <selection pane="bottomRight"/>
      <selection pane="bottomLeft" activeCell="A2" sqref="A2"/>
      <selection pane="topRight" activeCell="C1" sqref="C1"/>
    </sheetView>
  </sheetViews>
  <sheetFormatPr defaultColWidth="8.7109375" defaultRowHeight="15"/>
  <cols>
    <col min="1" max="1" width="14" style="1" customWidth="1"/>
    <col min="2" max="2" width="20" style="1" customWidth="1"/>
    <col min="3" max="3" width="9" style="1" customWidth="1"/>
    <col min="4" max="4" width="15" style="1" customWidth="1"/>
    <col min="5" max="5" width="7" style="1" customWidth="1"/>
    <col min="6" max="6" width="9" style="1" customWidth="1"/>
    <col min="7" max="7" width="32" style="1" customWidth="1"/>
    <col min="8" max="8" width="30" style="1" customWidth="1"/>
    <col min="9" max="9" width="46" style="1" customWidth="1"/>
    <col min="10" max="10" width="30" style="1" customWidth="1"/>
    <col min="11" max="11" width="48" style="1" customWidth="1"/>
    <col min="12" max="12" width="34" style="1" customWidth="1"/>
    <col min="13" max="13" width="10" style="1" customWidth="1"/>
    <col min="14" max="14" width="18" style="1" customWidth="1"/>
    <col min="15" max="15" width="10" style="1" customWidth="1"/>
    <col min="16" max="16" width="13" style="1" customWidth="1"/>
  </cols>
  <sheetData>
    <row r="1" spans="1:16" ht="15" customHeight="1">
      <c r="A1" s="18" t="s">
        <v>29</v>
      </c>
      <c r="B1" s="18" t="s">
        <v>43</v>
      </c>
      <c r="C1" s="18" t="s">
        <v>44</v>
      </c>
      <c r="D1" s="18" t="s">
        <v>45</v>
      </c>
      <c r="E1" s="18" t="s">
        <v>46</v>
      </c>
      <c r="F1" s="18" t="s">
        <v>47</v>
      </c>
      <c r="G1" s="18" t="s">
        <v>48</v>
      </c>
      <c r="H1" s="18" t="s">
        <v>49</v>
      </c>
      <c r="I1" s="18" t="s">
        <v>50</v>
      </c>
      <c r="J1" s="18" t="s">
        <v>51</v>
      </c>
      <c r="K1" s="18" t="s">
        <v>52</v>
      </c>
      <c r="L1" s="18" t="s">
        <v>30</v>
      </c>
      <c r="M1" s="18" t="s">
        <v>31</v>
      </c>
      <c r="N1" s="18" t="s">
        <v>32</v>
      </c>
      <c r="O1" s="18" t="s">
        <v>33</v>
      </c>
      <c r="P1" s="18" t="s">
        <v>34</v>
      </c>
    </row>
    <row r="2" spans="1:16" ht="54" customHeight="1">
      <c r="A2" s="8" t="s">
        <v>53</v>
      </c>
      <c r="B2" s="8" t="s">
        <v>54</v>
      </c>
      <c r="C2" s="8" t="s">
        <v>55</v>
      </c>
      <c r="D2" s="8" t="s">
        <v>56</v>
      </c>
      <c r="E2" s="8" t="s">
        <v>57</v>
      </c>
      <c r="F2" s="8" t="s">
        <v>22</v>
      </c>
      <c r="G2" s="8" t="s">
        <v>58</v>
      </c>
      <c r="H2" s="8" t="s">
        <v>59</v>
      </c>
      <c r="I2" s="8" t="s">
        <v>60</v>
      </c>
      <c r="J2" s="8" t="s">
        <v>38</v>
      </c>
      <c r="K2" s="8" t="s">
        <v>61</v>
      </c>
      <c r="L2" s="15" t="s">
        <v>62</v>
      </c>
      <c r="M2" s="15" t="s">
        <v>13</v>
      </c>
      <c r="N2" s="15" t="s">
        <v>37</v>
      </c>
      <c r="O2" s="15" t="s">
        <v>38</v>
      </c>
      <c r="P2" s="9" t="s">
        <v>63</v>
      </c>
    </row>
    <row r="3" spans="1:16" ht="54" customHeight="1">
      <c r="A3" s="8" t="s">
        <v>64</v>
      </c>
      <c r="B3" s="8" t="s">
        <v>54</v>
      </c>
      <c r="C3" s="8" t="s">
        <v>55</v>
      </c>
      <c r="D3" s="8" t="s">
        <v>56</v>
      </c>
      <c r="E3" s="8" t="s">
        <v>65</v>
      </c>
      <c r="F3" s="8" t="s">
        <v>22</v>
      </c>
      <c r="G3" s="8" t="s">
        <v>66</v>
      </c>
      <c r="H3" s="8" t="s">
        <v>67</v>
      </c>
      <c r="I3" s="8" t="s">
        <v>68</v>
      </c>
      <c r="J3" s="8" t="s">
        <v>38</v>
      </c>
      <c r="K3" s="8" t="s">
        <v>69</v>
      </c>
      <c r="L3" s="15" t="s">
        <v>70</v>
      </c>
      <c r="M3" s="15" t="s">
        <v>13</v>
      </c>
      <c r="N3" s="15" t="s">
        <v>37</v>
      </c>
      <c r="O3" s="15" t="s">
        <v>38</v>
      </c>
      <c r="P3" s="9" t="s">
        <v>63</v>
      </c>
    </row>
    <row r="4" spans="1:16" ht="54" customHeight="1">
      <c r="A4" s="8" t="s">
        <v>71</v>
      </c>
      <c r="B4" s="8" t="s">
        <v>54</v>
      </c>
      <c r="C4" s="8" t="s">
        <v>55</v>
      </c>
      <c r="D4" s="8" t="s">
        <v>56</v>
      </c>
      <c r="E4" s="8" t="s">
        <v>65</v>
      </c>
      <c r="F4" s="8" t="s">
        <v>24</v>
      </c>
      <c r="G4" s="8" t="s">
        <v>72</v>
      </c>
      <c r="H4" s="8" t="s">
        <v>67</v>
      </c>
      <c r="I4" s="8" t="s">
        <v>73</v>
      </c>
      <c r="J4" s="8" t="s">
        <v>74</v>
      </c>
      <c r="K4" s="8" t="s">
        <v>75</v>
      </c>
      <c r="L4" s="15" t="s">
        <v>76</v>
      </c>
      <c r="M4" s="15" t="s">
        <v>13</v>
      </c>
      <c r="N4" s="15" t="s">
        <v>37</v>
      </c>
      <c r="O4" s="15" t="s">
        <v>38</v>
      </c>
      <c r="P4" s="9" t="s">
        <v>63</v>
      </c>
    </row>
    <row r="5" spans="1:16" ht="40.5" customHeight="1">
      <c r="A5" s="8" t="s">
        <v>77</v>
      </c>
      <c r="B5" s="8" t="s">
        <v>54</v>
      </c>
      <c r="C5" s="8" t="s">
        <v>55</v>
      </c>
      <c r="D5" s="8" t="s">
        <v>56</v>
      </c>
      <c r="E5" s="8" t="s">
        <v>78</v>
      </c>
      <c r="F5" s="8" t="s">
        <v>24</v>
      </c>
      <c r="G5" s="8" t="s">
        <v>79</v>
      </c>
      <c r="H5" s="8" t="s">
        <v>80</v>
      </c>
      <c r="I5" s="8" t="s">
        <v>81</v>
      </c>
      <c r="J5" s="8" t="s">
        <v>38</v>
      </c>
      <c r="K5" s="8" t="s">
        <v>82</v>
      </c>
      <c r="L5" s="15" t="s">
        <v>83</v>
      </c>
      <c r="M5" s="15" t="s">
        <v>13</v>
      </c>
      <c r="N5" s="15" t="s">
        <v>37</v>
      </c>
      <c r="O5" s="15" t="s">
        <v>38</v>
      </c>
      <c r="P5" s="9" t="s">
        <v>63</v>
      </c>
    </row>
    <row r="6" spans="1:16" ht="40.5" customHeight="1">
      <c r="A6" s="8" t="s">
        <v>84</v>
      </c>
      <c r="B6" s="8" t="s">
        <v>54</v>
      </c>
      <c r="C6" s="8" t="s">
        <v>55</v>
      </c>
      <c r="D6" s="8" t="s">
        <v>56</v>
      </c>
      <c r="E6" s="8" t="s">
        <v>85</v>
      </c>
      <c r="F6" s="8" t="s">
        <v>24</v>
      </c>
      <c r="G6" s="8" t="s">
        <v>86</v>
      </c>
      <c r="H6" s="8" t="s">
        <v>87</v>
      </c>
      <c r="I6" s="8" t="s">
        <v>81</v>
      </c>
      <c r="J6" s="8" t="s">
        <v>38</v>
      </c>
      <c r="K6" s="8" t="s">
        <v>88</v>
      </c>
      <c r="L6" s="15" t="s">
        <v>89</v>
      </c>
      <c r="M6" s="15" t="s">
        <v>13</v>
      </c>
      <c r="N6" s="15" t="s">
        <v>37</v>
      </c>
      <c r="O6" s="15" t="s">
        <v>38</v>
      </c>
      <c r="P6" s="9" t="s">
        <v>63</v>
      </c>
    </row>
    <row r="7" spans="1:16" ht="40.5" customHeight="1">
      <c r="A7" s="8" t="s">
        <v>90</v>
      </c>
      <c r="B7" s="8" t="s">
        <v>91</v>
      </c>
      <c r="C7" s="8" t="s">
        <v>55</v>
      </c>
      <c r="D7" s="8" t="s">
        <v>92</v>
      </c>
      <c r="E7" s="8" t="s">
        <v>93</v>
      </c>
      <c r="F7" s="8" t="s">
        <v>22</v>
      </c>
      <c r="G7" s="8" t="s">
        <v>94</v>
      </c>
      <c r="H7" s="8" t="s">
        <v>95</v>
      </c>
      <c r="I7" s="8" t="s">
        <v>96</v>
      </c>
      <c r="J7" s="8" t="s">
        <v>97</v>
      </c>
      <c r="K7" s="8" t="s">
        <v>98</v>
      </c>
      <c r="L7" s="15" t="s">
        <v>99</v>
      </c>
      <c r="M7" s="15" t="s">
        <v>13</v>
      </c>
      <c r="N7" s="15" t="s">
        <v>37</v>
      </c>
      <c r="O7" s="15" t="s">
        <v>38</v>
      </c>
      <c r="P7" s="9" t="s">
        <v>63</v>
      </c>
    </row>
    <row r="8" spans="1:16" ht="40.5" customHeight="1">
      <c r="A8" s="8" t="s">
        <v>100</v>
      </c>
      <c r="B8" s="8" t="s">
        <v>91</v>
      </c>
      <c r="C8" s="8" t="s">
        <v>55</v>
      </c>
      <c r="D8" s="8" t="s">
        <v>92</v>
      </c>
      <c r="E8" s="8" t="s">
        <v>101</v>
      </c>
      <c r="F8" s="8" t="s">
        <v>22</v>
      </c>
      <c r="G8" s="8" t="s">
        <v>102</v>
      </c>
      <c r="H8" s="8" t="s">
        <v>103</v>
      </c>
      <c r="I8" s="8" t="s">
        <v>104</v>
      </c>
      <c r="J8" s="8" t="s">
        <v>38</v>
      </c>
      <c r="K8" s="8" t="s">
        <v>105</v>
      </c>
      <c r="L8" s="15" t="s">
        <v>106</v>
      </c>
      <c r="M8" s="15" t="s">
        <v>13</v>
      </c>
      <c r="N8" s="15" t="s">
        <v>37</v>
      </c>
      <c r="O8" s="15" t="s">
        <v>38</v>
      </c>
      <c r="P8" s="9" t="s">
        <v>63</v>
      </c>
    </row>
    <row r="9" spans="1:16" ht="54" customHeight="1">
      <c r="A9" s="8" t="s">
        <v>107</v>
      </c>
      <c r="B9" s="8" t="s">
        <v>91</v>
      </c>
      <c r="C9" s="8" t="s">
        <v>55</v>
      </c>
      <c r="D9" s="8" t="s">
        <v>92</v>
      </c>
      <c r="E9" s="8" t="s">
        <v>108</v>
      </c>
      <c r="F9" s="8" t="s">
        <v>24</v>
      </c>
      <c r="G9" s="8" t="s">
        <v>109</v>
      </c>
      <c r="H9" s="8" t="s">
        <v>67</v>
      </c>
      <c r="I9" s="8" t="s">
        <v>110</v>
      </c>
      <c r="J9" s="8" t="s">
        <v>38</v>
      </c>
      <c r="K9" s="8" t="s">
        <v>111</v>
      </c>
      <c r="L9" s="15" t="s">
        <v>112</v>
      </c>
      <c r="M9" s="15" t="s">
        <v>13</v>
      </c>
      <c r="N9" s="15" t="s">
        <v>37</v>
      </c>
      <c r="O9" s="15" t="s">
        <v>38</v>
      </c>
      <c r="P9" s="9" t="s">
        <v>63</v>
      </c>
    </row>
    <row r="10" spans="1:16" ht="54" customHeight="1">
      <c r="A10" s="8" t="s">
        <v>113</v>
      </c>
      <c r="B10" s="8" t="s">
        <v>91</v>
      </c>
      <c r="C10" s="8" t="s">
        <v>55</v>
      </c>
      <c r="D10" s="8" t="s">
        <v>92</v>
      </c>
      <c r="E10" s="8" t="s">
        <v>108</v>
      </c>
      <c r="F10" s="8" t="s">
        <v>22</v>
      </c>
      <c r="G10" s="8" t="s">
        <v>114</v>
      </c>
      <c r="H10" s="8" t="s">
        <v>115</v>
      </c>
      <c r="I10" s="8" t="s">
        <v>116</v>
      </c>
      <c r="J10" s="8" t="s">
        <v>117</v>
      </c>
      <c r="K10" s="8" t="s">
        <v>118</v>
      </c>
      <c r="L10" s="15" t="s">
        <v>119</v>
      </c>
      <c r="M10" s="15" t="s">
        <v>13</v>
      </c>
      <c r="N10" s="15" t="s">
        <v>37</v>
      </c>
      <c r="O10" s="15" t="s">
        <v>38</v>
      </c>
      <c r="P10" s="9" t="s">
        <v>63</v>
      </c>
    </row>
    <row r="11" spans="1:16" ht="40.5" customHeight="1">
      <c r="A11" s="8" t="s">
        <v>120</v>
      </c>
      <c r="B11" s="8" t="s">
        <v>121</v>
      </c>
      <c r="C11" s="8" t="s">
        <v>55</v>
      </c>
      <c r="D11" s="8" t="s">
        <v>122</v>
      </c>
      <c r="E11" s="8" t="s">
        <v>93</v>
      </c>
      <c r="F11" s="8" t="s">
        <v>22</v>
      </c>
      <c r="G11" s="8" t="s">
        <v>123</v>
      </c>
      <c r="H11" s="8" t="s">
        <v>67</v>
      </c>
      <c r="I11" s="8" t="s">
        <v>124</v>
      </c>
      <c r="J11" s="8" t="s">
        <v>38</v>
      </c>
      <c r="K11" s="8" t="s">
        <v>125</v>
      </c>
      <c r="L11" s="15" t="s">
        <v>126</v>
      </c>
      <c r="M11" s="15" t="s">
        <v>13</v>
      </c>
      <c r="N11" s="15" t="s">
        <v>37</v>
      </c>
      <c r="O11" s="15" t="s">
        <v>38</v>
      </c>
      <c r="P11" s="9" t="s">
        <v>63</v>
      </c>
    </row>
    <row r="12" spans="1:16" ht="54" customHeight="1">
      <c r="A12" s="8" t="s">
        <v>35</v>
      </c>
      <c r="B12" s="8" t="s">
        <v>121</v>
      </c>
      <c r="C12" s="8" t="s">
        <v>55</v>
      </c>
      <c r="D12" s="8" t="s">
        <v>122</v>
      </c>
      <c r="E12" s="8" t="s">
        <v>93</v>
      </c>
      <c r="F12" s="8" t="s">
        <v>24</v>
      </c>
      <c r="G12" s="8" t="s">
        <v>127</v>
      </c>
      <c r="H12" s="8" t="s">
        <v>67</v>
      </c>
      <c r="I12" s="8" t="s">
        <v>128</v>
      </c>
      <c r="J12" s="8" t="s">
        <v>129</v>
      </c>
      <c r="K12" s="8" t="s">
        <v>130</v>
      </c>
      <c r="L12" s="15" t="s">
        <v>131</v>
      </c>
      <c r="M12" s="15" t="s">
        <v>13</v>
      </c>
      <c r="N12" s="15" t="s">
        <v>37</v>
      </c>
      <c r="O12" s="15" t="s">
        <v>38</v>
      </c>
      <c r="P12" s="9" t="s">
        <v>63</v>
      </c>
    </row>
    <row r="13" spans="1:16" ht="54" customHeight="1">
      <c r="A13" s="8" t="s">
        <v>132</v>
      </c>
      <c r="B13" s="8" t="s">
        <v>121</v>
      </c>
      <c r="C13" s="8" t="s">
        <v>55</v>
      </c>
      <c r="D13" s="8" t="s">
        <v>122</v>
      </c>
      <c r="E13" s="8" t="s">
        <v>93</v>
      </c>
      <c r="F13" s="8" t="s">
        <v>22</v>
      </c>
      <c r="G13" s="8" t="s">
        <v>133</v>
      </c>
      <c r="H13" s="8" t="s">
        <v>95</v>
      </c>
      <c r="I13" s="8" t="s">
        <v>134</v>
      </c>
      <c r="J13" s="8" t="s">
        <v>135</v>
      </c>
      <c r="K13" s="8" t="s">
        <v>136</v>
      </c>
      <c r="L13" s="15" t="s">
        <v>137</v>
      </c>
      <c r="M13" s="15" t="s">
        <v>13</v>
      </c>
      <c r="N13" s="15" t="s">
        <v>37</v>
      </c>
      <c r="O13" s="15" t="s">
        <v>38</v>
      </c>
      <c r="P13" s="9" t="s">
        <v>63</v>
      </c>
    </row>
    <row r="14" spans="1:16" ht="54" customHeight="1">
      <c r="A14" s="8" t="s">
        <v>138</v>
      </c>
      <c r="B14" s="8" t="s">
        <v>121</v>
      </c>
      <c r="C14" s="8" t="s">
        <v>55</v>
      </c>
      <c r="D14" s="8" t="s">
        <v>122</v>
      </c>
      <c r="E14" s="8" t="s">
        <v>93</v>
      </c>
      <c r="F14" s="8" t="s">
        <v>24</v>
      </c>
      <c r="G14" s="8" t="s">
        <v>139</v>
      </c>
      <c r="H14" s="8" t="s">
        <v>67</v>
      </c>
      <c r="I14" s="8" t="s">
        <v>140</v>
      </c>
      <c r="J14" s="8" t="s">
        <v>141</v>
      </c>
      <c r="K14" s="8" t="s">
        <v>142</v>
      </c>
      <c r="L14" s="15" t="s">
        <v>143</v>
      </c>
      <c r="M14" s="15" t="s">
        <v>13</v>
      </c>
      <c r="N14" s="15" t="s">
        <v>37</v>
      </c>
      <c r="O14" s="15" t="s">
        <v>38</v>
      </c>
      <c r="P14" s="9" t="s">
        <v>63</v>
      </c>
    </row>
    <row r="15" spans="1:16" ht="67.5" customHeight="1">
      <c r="A15" s="8" t="s">
        <v>144</v>
      </c>
      <c r="B15" s="8" t="s">
        <v>121</v>
      </c>
      <c r="C15" s="8" t="s">
        <v>55</v>
      </c>
      <c r="D15" s="8" t="s">
        <v>122</v>
      </c>
      <c r="E15" s="8" t="s">
        <v>108</v>
      </c>
      <c r="F15" s="8" t="s">
        <v>22</v>
      </c>
      <c r="G15" s="8" t="s">
        <v>145</v>
      </c>
      <c r="H15" s="8" t="s">
        <v>146</v>
      </c>
      <c r="I15" s="8" t="s">
        <v>147</v>
      </c>
      <c r="J15" s="8" t="s">
        <v>148</v>
      </c>
      <c r="K15" s="8" t="s">
        <v>149</v>
      </c>
      <c r="L15" s="15" t="s">
        <v>150</v>
      </c>
      <c r="M15" s="15" t="s">
        <v>13</v>
      </c>
      <c r="N15" s="15" t="s">
        <v>37</v>
      </c>
      <c r="O15" s="15" t="s">
        <v>38</v>
      </c>
      <c r="P15" s="9" t="s">
        <v>63</v>
      </c>
    </row>
    <row r="16" spans="1:16" ht="54" customHeight="1">
      <c r="A16" s="8" t="s">
        <v>151</v>
      </c>
      <c r="B16" s="8" t="s">
        <v>121</v>
      </c>
      <c r="C16" s="8" t="s">
        <v>55</v>
      </c>
      <c r="D16" s="8" t="s">
        <v>122</v>
      </c>
      <c r="E16" s="8" t="s">
        <v>108</v>
      </c>
      <c r="F16" s="8" t="s">
        <v>22</v>
      </c>
      <c r="G16" s="8" t="s">
        <v>152</v>
      </c>
      <c r="H16" s="8" t="s">
        <v>146</v>
      </c>
      <c r="I16" s="8" t="s">
        <v>153</v>
      </c>
      <c r="J16" s="8" t="s">
        <v>154</v>
      </c>
      <c r="K16" s="8" t="s">
        <v>155</v>
      </c>
      <c r="L16" s="15" t="s">
        <v>156</v>
      </c>
      <c r="M16" s="15" t="s">
        <v>13</v>
      </c>
      <c r="N16" s="15" t="s">
        <v>37</v>
      </c>
      <c r="O16" s="15" t="s">
        <v>38</v>
      </c>
      <c r="P16" s="9" t="s">
        <v>63</v>
      </c>
    </row>
    <row r="17" spans="1:16" ht="54" customHeight="1">
      <c r="A17" s="8" t="s">
        <v>157</v>
      </c>
      <c r="B17" s="8" t="s">
        <v>121</v>
      </c>
      <c r="C17" s="8" t="s">
        <v>55</v>
      </c>
      <c r="D17" s="8" t="s">
        <v>122</v>
      </c>
      <c r="E17" s="8" t="s">
        <v>108</v>
      </c>
      <c r="F17" s="8" t="s">
        <v>24</v>
      </c>
      <c r="G17" s="8" t="s">
        <v>158</v>
      </c>
      <c r="H17" s="8" t="s">
        <v>146</v>
      </c>
      <c r="I17" s="8" t="s">
        <v>159</v>
      </c>
      <c r="J17" s="8" t="s">
        <v>160</v>
      </c>
      <c r="K17" s="8" t="s">
        <v>161</v>
      </c>
      <c r="L17" s="15" t="s">
        <v>162</v>
      </c>
      <c r="M17" s="15" t="s">
        <v>13</v>
      </c>
      <c r="N17" s="15" t="s">
        <v>37</v>
      </c>
      <c r="O17" s="15" t="s">
        <v>38</v>
      </c>
      <c r="P17" s="9" t="s">
        <v>63</v>
      </c>
    </row>
    <row r="18" spans="1:16" ht="40.5" customHeight="1">
      <c r="A18" s="8" t="s">
        <v>163</v>
      </c>
      <c r="B18" s="8" t="s">
        <v>121</v>
      </c>
      <c r="C18" s="8" t="s">
        <v>55</v>
      </c>
      <c r="D18" s="8" t="s">
        <v>122</v>
      </c>
      <c r="E18" s="8" t="s">
        <v>108</v>
      </c>
      <c r="F18" s="8" t="s">
        <v>24</v>
      </c>
      <c r="G18" s="8" t="s">
        <v>164</v>
      </c>
      <c r="H18" s="8" t="s">
        <v>95</v>
      </c>
      <c r="I18" s="8" t="s">
        <v>165</v>
      </c>
      <c r="J18" s="8" t="s">
        <v>166</v>
      </c>
      <c r="K18" s="8" t="s">
        <v>167</v>
      </c>
      <c r="L18" s="15" t="s">
        <v>168</v>
      </c>
      <c r="M18" s="15" t="s">
        <v>13</v>
      </c>
      <c r="N18" s="15" t="s">
        <v>37</v>
      </c>
      <c r="O18" s="15" t="s">
        <v>38</v>
      </c>
      <c r="P18" s="9" t="s">
        <v>63</v>
      </c>
    </row>
    <row r="19" spans="1:16" ht="54" customHeight="1">
      <c r="A19" s="8" t="s">
        <v>169</v>
      </c>
      <c r="B19" s="8" t="s">
        <v>170</v>
      </c>
      <c r="C19" s="8" t="s">
        <v>55</v>
      </c>
      <c r="D19" s="8" t="s">
        <v>171</v>
      </c>
      <c r="E19" s="8" t="s">
        <v>93</v>
      </c>
      <c r="F19" s="8" t="s">
        <v>22</v>
      </c>
      <c r="G19" s="8" t="s">
        <v>172</v>
      </c>
      <c r="H19" s="8" t="s">
        <v>173</v>
      </c>
      <c r="I19" s="8" t="s">
        <v>174</v>
      </c>
      <c r="J19" s="8" t="s">
        <v>97</v>
      </c>
      <c r="K19" s="8" t="s">
        <v>175</v>
      </c>
      <c r="L19" s="15" t="s">
        <v>176</v>
      </c>
      <c r="M19" s="15" t="s">
        <v>13</v>
      </c>
      <c r="N19" s="15" t="s">
        <v>37</v>
      </c>
      <c r="O19" s="15" t="s">
        <v>38</v>
      </c>
      <c r="P19" s="9" t="s">
        <v>63</v>
      </c>
    </row>
    <row r="20" spans="1:16" ht="40.5" customHeight="1">
      <c r="A20" s="8" t="s">
        <v>177</v>
      </c>
      <c r="B20" s="8" t="s">
        <v>170</v>
      </c>
      <c r="C20" s="8" t="s">
        <v>55</v>
      </c>
      <c r="D20" s="8" t="s">
        <v>171</v>
      </c>
      <c r="E20" s="8" t="s">
        <v>93</v>
      </c>
      <c r="F20" s="8" t="s">
        <v>24</v>
      </c>
      <c r="G20" s="8" t="s">
        <v>178</v>
      </c>
      <c r="H20" s="8" t="s">
        <v>179</v>
      </c>
      <c r="I20" s="8" t="s">
        <v>180</v>
      </c>
      <c r="J20" s="8" t="s">
        <v>97</v>
      </c>
      <c r="K20" s="8" t="s">
        <v>181</v>
      </c>
      <c r="L20" s="15" t="s">
        <v>182</v>
      </c>
      <c r="M20" s="15" t="s">
        <v>13</v>
      </c>
      <c r="N20" s="15" t="s">
        <v>37</v>
      </c>
      <c r="O20" s="15" t="s">
        <v>38</v>
      </c>
      <c r="P20" s="9" t="s">
        <v>63</v>
      </c>
    </row>
    <row r="21" spans="1:16" ht="30" customHeight="1">
      <c r="A21" s="8" t="s">
        <v>183</v>
      </c>
      <c r="B21" s="8" t="s">
        <v>170</v>
      </c>
      <c r="C21" s="8" t="s">
        <v>55</v>
      </c>
      <c r="D21" s="8" t="s">
        <v>171</v>
      </c>
      <c r="E21" s="8" t="s">
        <v>65</v>
      </c>
      <c r="F21" s="8" t="s">
        <v>26</v>
      </c>
      <c r="G21" s="8" t="s">
        <v>184</v>
      </c>
      <c r="H21" s="8" t="s">
        <v>185</v>
      </c>
      <c r="I21" s="8" t="s">
        <v>186</v>
      </c>
      <c r="J21" s="8" t="s">
        <v>38</v>
      </c>
      <c r="K21" s="8" t="s">
        <v>187</v>
      </c>
      <c r="L21" s="15" t="s">
        <v>188</v>
      </c>
      <c r="M21" s="15" t="s">
        <v>13</v>
      </c>
      <c r="N21" s="15" t="s">
        <v>37</v>
      </c>
      <c r="O21" s="15" t="s">
        <v>38</v>
      </c>
      <c r="P21" s="9" t="s">
        <v>63</v>
      </c>
    </row>
    <row r="22" spans="1:16" ht="54" customHeight="1">
      <c r="A22" s="8" t="s">
        <v>189</v>
      </c>
      <c r="B22" s="8" t="s">
        <v>190</v>
      </c>
      <c r="C22" s="8" t="s">
        <v>191</v>
      </c>
      <c r="D22" s="8" t="s">
        <v>56</v>
      </c>
      <c r="E22" s="8" t="s">
        <v>192</v>
      </c>
      <c r="F22" s="8" t="s">
        <v>22</v>
      </c>
      <c r="G22" s="8" t="s">
        <v>193</v>
      </c>
      <c r="H22" s="8" t="s">
        <v>194</v>
      </c>
      <c r="I22" s="8" t="s">
        <v>195</v>
      </c>
      <c r="J22" s="8" t="s">
        <v>38</v>
      </c>
      <c r="K22" s="8" t="s">
        <v>196</v>
      </c>
      <c r="L22" s="15" t="s">
        <v>197</v>
      </c>
      <c r="M22" s="15" t="s">
        <v>13</v>
      </c>
      <c r="N22" s="15" t="s">
        <v>37</v>
      </c>
      <c r="O22" s="15" t="s">
        <v>38</v>
      </c>
      <c r="P22" s="9" t="s">
        <v>63</v>
      </c>
    </row>
    <row r="23" spans="1:16" ht="40.5" customHeight="1">
      <c r="A23" s="8" t="s">
        <v>198</v>
      </c>
      <c r="B23" s="8" t="s">
        <v>190</v>
      </c>
      <c r="C23" s="8" t="s">
        <v>191</v>
      </c>
      <c r="D23" s="8" t="s">
        <v>56</v>
      </c>
      <c r="E23" s="8" t="s">
        <v>192</v>
      </c>
      <c r="F23" s="8" t="s">
        <v>22</v>
      </c>
      <c r="G23" s="8" t="s">
        <v>199</v>
      </c>
      <c r="H23" s="8" t="s">
        <v>200</v>
      </c>
      <c r="I23" s="8" t="s">
        <v>201</v>
      </c>
      <c r="J23" s="8" t="s">
        <v>38</v>
      </c>
      <c r="K23" s="8" t="s">
        <v>202</v>
      </c>
      <c r="L23" s="15" t="s">
        <v>203</v>
      </c>
      <c r="M23" s="15" t="s">
        <v>13</v>
      </c>
      <c r="N23" s="15" t="s">
        <v>37</v>
      </c>
      <c r="O23" s="15" t="s">
        <v>38</v>
      </c>
      <c r="P23" s="9" t="s">
        <v>63</v>
      </c>
    </row>
    <row r="24" spans="1:16" ht="54" customHeight="1">
      <c r="A24" s="8" t="s">
        <v>204</v>
      </c>
      <c r="B24" s="8" t="s">
        <v>190</v>
      </c>
      <c r="C24" s="8" t="s">
        <v>191</v>
      </c>
      <c r="D24" s="8" t="s">
        <v>56</v>
      </c>
      <c r="E24" s="8" t="s">
        <v>205</v>
      </c>
      <c r="F24" s="8" t="s">
        <v>22</v>
      </c>
      <c r="G24" s="8" t="s">
        <v>206</v>
      </c>
      <c r="H24" s="8" t="s">
        <v>200</v>
      </c>
      <c r="I24" s="8" t="s">
        <v>207</v>
      </c>
      <c r="J24" s="8" t="s">
        <v>38</v>
      </c>
      <c r="K24" s="8" t="s">
        <v>208</v>
      </c>
      <c r="L24" s="15" t="s">
        <v>209</v>
      </c>
      <c r="M24" s="15" t="s">
        <v>13</v>
      </c>
      <c r="N24" s="15" t="s">
        <v>37</v>
      </c>
      <c r="O24" s="15" t="s">
        <v>38</v>
      </c>
      <c r="P24" s="9" t="s">
        <v>63</v>
      </c>
    </row>
    <row r="25" spans="1:16" ht="54" customHeight="1">
      <c r="A25" s="8" t="s">
        <v>210</v>
      </c>
      <c r="B25" s="8" t="s">
        <v>190</v>
      </c>
      <c r="C25" s="8" t="s">
        <v>191</v>
      </c>
      <c r="D25" s="8" t="s">
        <v>56</v>
      </c>
      <c r="E25" s="8" t="s">
        <v>211</v>
      </c>
      <c r="F25" s="8" t="s">
        <v>22</v>
      </c>
      <c r="G25" s="8" t="s">
        <v>212</v>
      </c>
      <c r="H25" s="8" t="s">
        <v>200</v>
      </c>
      <c r="I25" s="8" t="s">
        <v>213</v>
      </c>
      <c r="J25" s="8" t="s">
        <v>38</v>
      </c>
      <c r="K25" s="8" t="s">
        <v>214</v>
      </c>
      <c r="L25" s="15" t="s">
        <v>215</v>
      </c>
      <c r="M25" s="15" t="s">
        <v>13</v>
      </c>
      <c r="N25" s="15" t="s">
        <v>37</v>
      </c>
      <c r="O25" s="15" t="s">
        <v>38</v>
      </c>
      <c r="P25" s="9" t="s">
        <v>63</v>
      </c>
    </row>
    <row r="26" spans="1:16" ht="54" customHeight="1">
      <c r="A26" s="8" t="s">
        <v>216</v>
      </c>
      <c r="B26" s="8" t="s">
        <v>190</v>
      </c>
      <c r="C26" s="8" t="s">
        <v>191</v>
      </c>
      <c r="D26" s="8" t="s">
        <v>56</v>
      </c>
      <c r="E26" s="8" t="s">
        <v>78</v>
      </c>
      <c r="F26" s="8" t="s">
        <v>24</v>
      </c>
      <c r="G26" s="8" t="s">
        <v>217</v>
      </c>
      <c r="H26" s="8" t="s">
        <v>200</v>
      </c>
      <c r="I26" s="8" t="s">
        <v>218</v>
      </c>
      <c r="J26" s="8" t="s">
        <v>38</v>
      </c>
      <c r="K26" s="8" t="s">
        <v>219</v>
      </c>
      <c r="L26" s="15" t="s">
        <v>220</v>
      </c>
      <c r="M26" s="15" t="s">
        <v>13</v>
      </c>
      <c r="N26" s="15" t="s">
        <v>37</v>
      </c>
      <c r="O26" s="15" t="s">
        <v>38</v>
      </c>
      <c r="P26" s="9" t="s">
        <v>63</v>
      </c>
    </row>
    <row r="27" spans="1:16" ht="54" customHeight="1">
      <c r="A27" s="8" t="s">
        <v>221</v>
      </c>
      <c r="B27" s="8" t="s">
        <v>190</v>
      </c>
      <c r="C27" s="8" t="s">
        <v>191</v>
      </c>
      <c r="D27" s="8" t="s">
        <v>56</v>
      </c>
      <c r="E27" s="8" t="s">
        <v>85</v>
      </c>
      <c r="F27" s="8" t="s">
        <v>22</v>
      </c>
      <c r="G27" s="8" t="s">
        <v>222</v>
      </c>
      <c r="H27" s="8" t="s">
        <v>223</v>
      </c>
      <c r="I27" s="8" t="s">
        <v>224</v>
      </c>
      <c r="J27" s="8" t="s">
        <v>38</v>
      </c>
      <c r="K27" s="8" t="s">
        <v>225</v>
      </c>
      <c r="L27" s="15" t="s">
        <v>226</v>
      </c>
      <c r="M27" s="15" t="s">
        <v>13</v>
      </c>
      <c r="N27" s="15" t="s">
        <v>37</v>
      </c>
      <c r="O27" s="15" t="s">
        <v>38</v>
      </c>
      <c r="P27" s="9" t="s">
        <v>63</v>
      </c>
    </row>
    <row r="28" spans="1:16" ht="30" customHeight="1">
      <c r="A28" s="8" t="s">
        <v>227</v>
      </c>
      <c r="B28" s="8" t="s">
        <v>228</v>
      </c>
      <c r="C28" s="8" t="s">
        <v>191</v>
      </c>
      <c r="D28" s="8" t="s">
        <v>92</v>
      </c>
      <c r="E28" s="8" t="s">
        <v>229</v>
      </c>
      <c r="F28" s="8" t="s">
        <v>22</v>
      </c>
      <c r="G28" s="8" t="s">
        <v>230</v>
      </c>
      <c r="H28" s="8" t="s">
        <v>231</v>
      </c>
      <c r="I28" s="8" t="s">
        <v>232</v>
      </c>
      <c r="J28" s="8" t="s">
        <v>38</v>
      </c>
      <c r="K28" s="8" t="s">
        <v>233</v>
      </c>
      <c r="L28" s="15" t="s">
        <v>234</v>
      </c>
      <c r="M28" s="15" t="s">
        <v>13</v>
      </c>
      <c r="N28" s="15" t="s">
        <v>37</v>
      </c>
      <c r="O28" s="15" t="s">
        <v>38</v>
      </c>
      <c r="P28" s="9" t="s">
        <v>63</v>
      </c>
    </row>
    <row r="29" spans="1:16" ht="40.5" customHeight="1">
      <c r="A29" s="8" t="s">
        <v>235</v>
      </c>
      <c r="B29" s="8" t="s">
        <v>228</v>
      </c>
      <c r="C29" s="8" t="s">
        <v>191</v>
      </c>
      <c r="D29" s="8" t="s">
        <v>92</v>
      </c>
      <c r="E29" s="8" t="s">
        <v>211</v>
      </c>
      <c r="F29" s="8" t="s">
        <v>22</v>
      </c>
      <c r="G29" s="8" t="s">
        <v>236</v>
      </c>
      <c r="H29" s="8" t="s">
        <v>200</v>
      </c>
      <c r="I29" s="8" t="s">
        <v>237</v>
      </c>
      <c r="J29" s="8" t="s">
        <v>38</v>
      </c>
      <c r="K29" s="8" t="s">
        <v>238</v>
      </c>
      <c r="L29" s="15" t="s">
        <v>239</v>
      </c>
      <c r="M29" s="15" t="s">
        <v>13</v>
      </c>
      <c r="N29" s="15" t="s">
        <v>37</v>
      </c>
      <c r="O29" s="15" t="s">
        <v>38</v>
      </c>
      <c r="P29" s="9" t="s">
        <v>63</v>
      </c>
    </row>
    <row r="30" spans="1:16" ht="40.5" customHeight="1">
      <c r="A30" s="8" t="s">
        <v>40</v>
      </c>
      <c r="B30" s="8" t="s">
        <v>228</v>
      </c>
      <c r="C30" s="8" t="s">
        <v>191</v>
      </c>
      <c r="D30" s="8" t="s">
        <v>92</v>
      </c>
      <c r="E30" s="8" t="s">
        <v>211</v>
      </c>
      <c r="F30" s="8" t="s">
        <v>24</v>
      </c>
      <c r="G30" s="8" t="s">
        <v>240</v>
      </c>
      <c r="H30" s="8" t="s">
        <v>241</v>
      </c>
      <c r="I30" s="8" t="s">
        <v>242</v>
      </c>
      <c r="J30" s="8" t="s">
        <v>38</v>
      </c>
      <c r="K30" s="8" t="s">
        <v>243</v>
      </c>
      <c r="L30" s="15" t="s">
        <v>244</v>
      </c>
      <c r="M30" s="15" t="s">
        <v>13</v>
      </c>
      <c r="N30" s="15" t="s">
        <v>37</v>
      </c>
      <c r="O30" s="15" t="s">
        <v>38</v>
      </c>
      <c r="P30" s="9" t="s">
        <v>63</v>
      </c>
    </row>
    <row r="31" spans="1:16" ht="40.5" customHeight="1">
      <c r="A31" s="8" t="s">
        <v>245</v>
      </c>
      <c r="B31" s="8" t="s">
        <v>228</v>
      </c>
      <c r="C31" s="8" t="s">
        <v>191</v>
      </c>
      <c r="D31" s="8" t="s">
        <v>92</v>
      </c>
      <c r="E31" s="8" t="s">
        <v>246</v>
      </c>
      <c r="F31" s="8" t="s">
        <v>22</v>
      </c>
      <c r="G31" s="8" t="s">
        <v>247</v>
      </c>
      <c r="H31" s="8" t="s">
        <v>200</v>
      </c>
      <c r="I31" s="8" t="s">
        <v>248</v>
      </c>
      <c r="J31" s="8" t="s">
        <v>38</v>
      </c>
      <c r="K31" s="8" t="s">
        <v>249</v>
      </c>
      <c r="L31" s="15" t="s">
        <v>250</v>
      </c>
      <c r="M31" s="15" t="s">
        <v>13</v>
      </c>
      <c r="N31" s="15" t="s">
        <v>37</v>
      </c>
      <c r="O31" s="15" t="s">
        <v>38</v>
      </c>
      <c r="P31" s="9" t="s">
        <v>63</v>
      </c>
    </row>
    <row r="32" spans="1:16" ht="40.5" customHeight="1">
      <c r="A32" s="8" t="s">
        <v>251</v>
      </c>
      <c r="B32" s="8" t="s">
        <v>228</v>
      </c>
      <c r="C32" s="8" t="s">
        <v>191</v>
      </c>
      <c r="D32" s="8" t="s">
        <v>92</v>
      </c>
      <c r="E32" s="8" t="s">
        <v>246</v>
      </c>
      <c r="F32" s="8" t="s">
        <v>24</v>
      </c>
      <c r="G32" s="8" t="s">
        <v>252</v>
      </c>
      <c r="H32" s="8" t="s">
        <v>200</v>
      </c>
      <c r="I32" s="8" t="s">
        <v>253</v>
      </c>
      <c r="J32" s="8" t="s">
        <v>38</v>
      </c>
      <c r="K32" s="8" t="s">
        <v>254</v>
      </c>
      <c r="L32" s="15" t="s">
        <v>255</v>
      </c>
      <c r="M32" s="15" t="s">
        <v>13</v>
      </c>
      <c r="N32" s="15" t="s">
        <v>37</v>
      </c>
      <c r="O32" s="15" t="s">
        <v>38</v>
      </c>
      <c r="P32" s="9" t="s">
        <v>63</v>
      </c>
    </row>
    <row r="33" spans="1:16" ht="30" customHeight="1">
      <c r="A33" s="8" t="s">
        <v>256</v>
      </c>
      <c r="B33" s="8" t="s">
        <v>228</v>
      </c>
      <c r="C33" s="8" t="s">
        <v>191</v>
      </c>
      <c r="D33" s="8" t="s">
        <v>92</v>
      </c>
      <c r="E33" s="8" t="s">
        <v>229</v>
      </c>
      <c r="F33" s="8" t="s">
        <v>24</v>
      </c>
      <c r="G33" s="8" t="s">
        <v>257</v>
      </c>
      <c r="H33" s="8" t="s">
        <v>200</v>
      </c>
      <c r="I33" s="8" t="s">
        <v>258</v>
      </c>
      <c r="J33" s="8" t="s">
        <v>38</v>
      </c>
      <c r="K33" s="8" t="s">
        <v>259</v>
      </c>
      <c r="L33" s="15" t="s">
        <v>260</v>
      </c>
      <c r="M33" s="15" t="s">
        <v>13</v>
      </c>
      <c r="N33" s="15" t="s">
        <v>37</v>
      </c>
      <c r="O33" s="15" t="s">
        <v>38</v>
      </c>
      <c r="P33" s="9" t="s">
        <v>63</v>
      </c>
    </row>
    <row r="34" spans="1:16" ht="30" customHeight="1">
      <c r="A34" s="8" t="s">
        <v>261</v>
      </c>
      <c r="B34" s="8" t="s">
        <v>228</v>
      </c>
      <c r="C34" s="8" t="s">
        <v>191</v>
      </c>
      <c r="D34" s="8" t="s">
        <v>92</v>
      </c>
      <c r="E34" s="8" t="s">
        <v>211</v>
      </c>
      <c r="F34" s="8" t="s">
        <v>24</v>
      </c>
      <c r="G34" s="8" t="s">
        <v>262</v>
      </c>
      <c r="H34" s="8" t="s">
        <v>200</v>
      </c>
      <c r="I34" s="8" t="s">
        <v>263</v>
      </c>
      <c r="J34" s="8" t="s">
        <v>38</v>
      </c>
      <c r="K34" s="8" t="s">
        <v>264</v>
      </c>
      <c r="L34" s="15" t="s">
        <v>265</v>
      </c>
      <c r="M34" s="15" t="s">
        <v>13</v>
      </c>
      <c r="N34" s="15" t="s">
        <v>37</v>
      </c>
      <c r="O34" s="15" t="s">
        <v>38</v>
      </c>
      <c r="P34" s="9" t="s">
        <v>63</v>
      </c>
    </row>
    <row r="35" spans="1:16" ht="54" customHeight="1">
      <c r="A35" s="8" t="s">
        <v>266</v>
      </c>
      <c r="B35" s="8" t="s">
        <v>228</v>
      </c>
      <c r="C35" s="8" t="s">
        <v>191</v>
      </c>
      <c r="D35" s="8" t="s">
        <v>92</v>
      </c>
      <c r="E35" s="8" t="s">
        <v>267</v>
      </c>
      <c r="F35" s="8" t="s">
        <v>22</v>
      </c>
      <c r="G35" s="8" t="s">
        <v>268</v>
      </c>
      <c r="H35" s="8" t="s">
        <v>269</v>
      </c>
      <c r="I35" s="8" t="s">
        <v>270</v>
      </c>
      <c r="J35" s="8" t="s">
        <v>38</v>
      </c>
      <c r="K35" s="8" t="s">
        <v>271</v>
      </c>
      <c r="L35" s="15" t="s">
        <v>272</v>
      </c>
      <c r="M35" s="15" t="s">
        <v>15</v>
      </c>
      <c r="N35" s="15" t="s">
        <v>37</v>
      </c>
      <c r="O35" s="15" t="s">
        <v>273</v>
      </c>
      <c r="P35" s="9" t="s">
        <v>63</v>
      </c>
    </row>
    <row r="36" spans="1:16" ht="40.5" customHeight="1">
      <c r="A36" s="8" t="s">
        <v>274</v>
      </c>
      <c r="B36" s="8" t="s">
        <v>228</v>
      </c>
      <c r="C36" s="8" t="s">
        <v>191</v>
      </c>
      <c r="D36" s="8" t="s">
        <v>92</v>
      </c>
      <c r="E36" s="8" t="s">
        <v>78</v>
      </c>
      <c r="F36" s="8" t="s">
        <v>24</v>
      </c>
      <c r="G36" s="8" t="s">
        <v>275</v>
      </c>
      <c r="H36" s="8" t="s">
        <v>200</v>
      </c>
      <c r="I36" s="8" t="s">
        <v>276</v>
      </c>
      <c r="J36" s="8" t="s">
        <v>38</v>
      </c>
      <c r="K36" s="8" t="s">
        <v>277</v>
      </c>
      <c r="L36" s="15" t="s">
        <v>278</v>
      </c>
      <c r="M36" s="15" t="s">
        <v>13</v>
      </c>
      <c r="N36" s="15" t="s">
        <v>37</v>
      </c>
      <c r="O36" s="15" t="s">
        <v>38</v>
      </c>
      <c r="P36" s="9" t="s">
        <v>63</v>
      </c>
    </row>
    <row r="37" spans="1:16" ht="54" customHeight="1">
      <c r="A37" s="8" t="s">
        <v>279</v>
      </c>
      <c r="B37" s="8" t="s">
        <v>280</v>
      </c>
      <c r="C37" s="8" t="s">
        <v>191</v>
      </c>
      <c r="D37" s="8" t="s">
        <v>122</v>
      </c>
      <c r="E37" s="8" t="s">
        <v>229</v>
      </c>
      <c r="F37" s="8" t="s">
        <v>22</v>
      </c>
      <c r="G37" s="8" t="s">
        <v>281</v>
      </c>
      <c r="H37" s="8" t="s">
        <v>282</v>
      </c>
      <c r="I37" s="8" t="s">
        <v>283</v>
      </c>
      <c r="J37" s="8" t="s">
        <v>38</v>
      </c>
      <c r="K37" s="8" t="s">
        <v>284</v>
      </c>
      <c r="L37" s="15" t="s">
        <v>285</v>
      </c>
      <c r="M37" s="15" t="s">
        <v>17</v>
      </c>
      <c r="N37" s="15" t="s">
        <v>37</v>
      </c>
      <c r="O37" s="15" t="s">
        <v>38</v>
      </c>
      <c r="P37" s="9" t="s">
        <v>63</v>
      </c>
    </row>
    <row r="38" spans="1:16" ht="40.5" customHeight="1">
      <c r="A38" s="8" t="s">
        <v>286</v>
      </c>
      <c r="B38" s="8" t="s">
        <v>280</v>
      </c>
      <c r="C38" s="8" t="s">
        <v>191</v>
      </c>
      <c r="D38" s="8" t="s">
        <v>122</v>
      </c>
      <c r="E38" s="8" t="s">
        <v>211</v>
      </c>
      <c r="F38" s="8" t="s">
        <v>24</v>
      </c>
      <c r="G38" s="8" t="s">
        <v>287</v>
      </c>
      <c r="H38" s="8" t="s">
        <v>241</v>
      </c>
      <c r="I38" s="8" t="s">
        <v>288</v>
      </c>
      <c r="J38" s="8" t="s">
        <v>38</v>
      </c>
      <c r="K38" s="8" t="s">
        <v>289</v>
      </c>
      <c r="L38" s="15" t="s">
        <v>290</v>
      </c>
      <c r="M38" s="15" t="s">
        <v>13</v>
      </c>
      <c r="N38" s="15" t="s">
        <v>37</v>
      </c>
      <c r="O38" s="15" t="s">
        <v>38</v>
      </c>
      <c r="P38" s="9" t="s">
        <v>63</v>
      </c>
    </row>
    <row r="39" spans="1:16" ht="30" customHeight="1">
      <c r="A39" s="8" t="s">
        <v>291</v>
      </c>
      <c r="B39" s="8" t="s">
        <v>280</v>
      </c>
      <c r="C39" s="8" t="s">
        <v>191</v>
      </c>
      <c r="D39" s="8" t="s">
        <v>122</v>
      </c>
      <c r="E39" s="8" t="s">
        <v>211</v>
      </c>
      <c r="F39" s="8" t="s">
        <v>24</v>
      </c>
      <c r="G39" s="8" t="s">
        <v>292</v>
      </c>
      <c r="H39" s="8" t="s">
        <v>293</v>
      </c>
      <c r="I39" s="8" t="s">
        <v>294</v>
      </c>
      <c r="J39" s="8" t="s">
        <v>38</v>
      </c>
      <c r="K39" s="8" t="s">
        <v>295</v>
      </c>
      <c r="L39" s="15" t="s">
        <v>296</v>
      </c>
      <c r="M39" s="15" t="s">
        <v>13</v>
      </c>
      <c r="N39" s="15" t="s">
        <v>37</v>
      </c>
      <c r="O39" s="15" t="s">
        <v>38</v>
      </c>
      <c r="P39" s="9" t="s">
        <v>63</v>
      </c>
    </row>
    <row r="40" spans="1:16" ht="54" customHeight="1">
      <c r="A40" s="8" t="s">
        <v>297</v>
      </c>
      <c r="B40" s="8" t="s">
        <v>298</v>
      </c>
      <c r="C40" s="8" t="s">
        <v>191</v>
      </c>
      <c r="D40" s="8" t="s">
        <v>171</v>
      </c>
      <c r="E40" s="8" t="s">
        <v>192</v>
      </c>
      <c r="F40" s="8" t="s">
        <v>24</v>
      </c>
      <c r="G40" s="8" t="s">
        <v>299</v>
      </c>
      <c r="H40" s="8" t="s">
        <v>200</v>
      </c>
      <c r="I40" s="8" t="s">
        <v>300</v>
      </c>
      <c r="J40" s="8" t="s">
        <v>38</v>
      </c>
      <c r="K40" s="8" t="s">
        <v>301</v>
      </c>
      <c r="L40" s="15" t="s">
        <v>302</v>
      </c>
      <c r="M40" s="15" t="s">
        <v>13</v>
      </c>
      <c r="N40" s="15" t="s">
        <v>37</v>
      </c>
      <c r="O40" s="15" t="s">
        <v>38</v>
      </c>
      <c r="P40" s="9" t="s">
        <v>63</v>
      </c>
    </row>
    <row r="41" spans="1:16" ht="40.5" customHeight="1">
      <c r="A41" s="8" t="s">
        <v>303</v>
      </c>
      <c r="B41" s="8" t="s">
        <v>298</v>
      </c>
      <c r="C41" s="8" t="s">
        <v>191</v>
      </c>
      <c r="D41" s="8" t="s">
        <v>171</v>
      </c>
      <c r="E41" s="8" t="s">
        <v>192</v>
      </c>
      <c r="F41" s="8" t="s">
        <v>24</v>
      </c>
      <c r="G41" s="8" t="s">
        <v>304</v>
      </c>
      <c r="H41" s="8" t="s">
        <v>200</v>
      </c>
      <c r="I41" s="8" t="s">
        <v>305</v>
      </c>
      <c r="J41" s="8" t="s">
        <v>38</v>
      </c>
      <c r="K41" s="8" t="s">
        <v>306</v>
      </c>
      <c r="L41" s="15" t="s">
        <v>307</v>
      </c>
      <c r="M41" s="15" t="s">
        <v>13</v>
      </c>
      <c r="N41" s="15" t="s">
        <v>37</v>
      </c>
      <c r="O41" s="15" t="s">
        <v>38</v>
      </c>
      <c r="P41" s="9" t="s">
        <v>63</v>
      </c>
    </row>
    <row r="42" spans="1:16" ht="30" customHeight="1">
      <c r="A42" s="8" t="s">
        <v>308</v>
      </c>
      <c r="B42" s="8" t="s">
        <v>298</v>
      </c>
      <c r="C42" s="8" t="s">
        <v>191</v>
      </c>
      <c r="D42" s="8" t="s">
        <v>171</v>
      </c>
      <c r="E42" s="8" t="s">
        <v>192</v>
      </c>
      <c r="F42" s="8" t="s">
        <v>26</v>
      </c>
      <c r="G42" s="8" t="s">
        <v>309</v>
      </c>
      <c r="H42" s="8" t="s">
        <v>310</v>
      </c>
      <c r="I42" s="8" t="s">
        <v>311</v>
      </c>
      <c r="J42" s="8" t="s">
        <v>38</v>
      </c>
      <c r="K42" s="8" t="s">
        <v>312</v>
      </c>
      <c r="L42" s="15" t="s">
        <v>313</v>
      </c>
      <c r="M42" s="15" t="s">
        <v>13</v>
      </c>
      <c r="N42" s="15" t="s">
        <v>37</v>
      </c>
      <c r="O42" s="15" t="s">
        <v>38</v>
      </c>
      <c r="P42" s="9" t="s">
        <v>63</v>
      </c>
    </row>
  </sheetData>
  <autoFilter ref="A1:P42" xr:uid="{00000000-0009-0000-0000-000001000000}"/>
  <dataValidations count="3">
    <dataValidation type="list" allowBlank="1" sqref="M2:M200" xr:uid="{00000000-0002-0000-0100-000000000000}">
      <formula1>"Pass,Fail,Blocked"</formula1>
      <formula2>0</formula2>
    </dataValidation>
    <dataValidation type="list" sqref="D2:D200" xr:uid="{00000000-0002-0000-0100-000001000000}">
      <formula1>"GUI,Positive,Negative,General Mobile"</formula1>
      <formula2>0</formula2>
    </dataValidation>
    <dataValidation type="list" sqref="F2:F200" xr:uid="{00000000-0002-0000-0100-000002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zoomScaleNormal="100" workbookViewId="0">
      <pane xSplit="1" ySplit="1" topLeftCell="B2" activePane="bottomRight" state="frozen"/>
      <selection pane="bottomRight"/>
      <selection pane="bottomLeft" activeCell="A2" sqref="A2"/>
      <selection pane="topRight" activeCell="B1" sqref="B1"/>
    </sheetView>
  </sheetViews>
  <sheetFormatPr defaultColWidth="8.7109375" defaultRowHeight="15"/>
  <cols>
    <col min="1" max="1" width="8" style="1" customWidth="1"/>
    <col min="2" max="2" width="62" style="1" customWidth="1"/>
    <col min="3" max="3" width="30" style="1" customWidth="1"/>
    <col min="4" max="4" width="60" style="1" customWidth="1"/>
    <col min="5" max="7" width="8" style="1" customWidth="1"/>
    <col min="8" max="9" width="9" style="1" customWidth="1"/>
    <col min="10" max="10" width="22" style="1" customWidth="1"/>
  </cols>
  <sheetData>
    <row r="1" spans="1:10" ht="15" customHeight="1">
      <c r="A1" s="18" t="s">
        <v>314</v>
      </c>
      <c r="B1" s="18" t="s">
        <v>315</v>
      </c>
      <c r="C1" s="18" t="s">
        <v>316</v>
      </c>
      <c r="D1" s="18" t="s">
        <v>317</v>
      </c>
      <c r="E1" s="18" t="s">
        <v>318</v>
      </c>
      <c r="F1" s="18" t="s">
        <v>319</v>
      </c>
      <c r="G1" s="18" t="s">
        <v>320</v>
      </c>
      <c r="H1" s="18" t="s">
        <v>17</v>
      </c>
      <c r="I1" s="18" t="s">
        <v>321</v>
      </c>
      <c r="J1" s="18" t="s">
        <v>322</v>
      </c>
    </row>
    <row r="2" spans="1:10" ht="30" customHeight="1">
      <c r="A2" s="16" t="s">
        <v>57</v>
      </c>
      <c r="B2" s="8" t="s">
        <v>323</v>
      </c>
      <c r="C2" s="8" t="s">
        <v>324</v>
      </c>
      <c r="D2" s="8" t="s">
        <v>53</v>
      </c>
      <c r="E2" s="16">
        <f>COUNTIF(TestCases!$E$2:$E$200,A2)</f>
        <v>1</v>
      </c>
      <c r="F2" s="16">
        <f>COUNTIFS(TestCases!$E$2:$E$200,A2,TestCases!$M$2:$M$200,"Pass")</f>
        <v>1</v>
      </c>
      <c r="G2" s="16">
        <f>COUNTIFS(TestCases!$E$2:$E$200,A2,TestCases!$M$2:$M$200,"Fail")</f>
        <v>0</v>
      </c>
      <c r="H2" s="16">
        <f>COUNTIFS(TestCases!$E$2:$E$200,A2,TestCases!$M$2:$M$200,"Blocked")</f>
        <v>0</v>
      </c>
      <c r="I2" s="16">
        <f>E2-F2-G2-H2</f>
        <v>0</v>
      </c>
      <c r="J2" s="8" t="str">
        <f>IF(E2=0,"No coverage",IF(G2&gt;0,"Failing",IF(F2=E2,"Covered and passed",IF(I2=E2,"Not run","In progress"))))</f>
        <v>Covered and passed</v>
      </c>
    </row>
    <row r="3" spans="1:10" ht="40.5" customHeight="1">
      <c r="A3" s="16" t="s">
        <v>108</v>
      </c>
      <c r="B3" s="8" t="s">
        <v>325</v>
      </c>
      <c r="C3" s="8" t="s">
        <v>324</v>
      </c>
      <c r="D3" s="8" t="s">
        <v>326</v>
      </c>
      <c r="E3" s="16">
        <f>COUNTIF(TestCases!$E$2:$E$200,A3)</f>
        <v>6</v>
      </c>
      <c r="F3" s="16">
        <f>COUNTIFS(TestCases!$E$2:$E$200,A3,TestCases!$M$2:$M$200,"Pass")</f>
        <v>6</v>
      </c>
      <c r="G3" s="16">
        <f>COUNTIFS(TestCases!$E$2:$E$200,A3,TestCases!$M$2:$M$200,"Fail")</f>
        <v>0</v>
      </c>
      <c r="H3" s="16">
        <f>COUNTIFS(TestCases!$E$2:$E$200,A3,TestCases!$M$2:$M$200,"Blocked")</f>
        <v>0</v>
      </c>
      <c r="I3" s="16">
        <f>E3-F3-G3-H3</f>
        <v>0</v>
      </c>
      <c r="J3" s="8" t="str">
        <f>IF(E3=0,"No coverage",IF(G3&gt;0,"Failing",IF(F3=E3,"Covered and passed",IF(I3=E3,"Not run","In progress"))))</f>
        <v>Covered and passed</v>
      </c>
    </row>
    <row r="4" spans="1:10" ht="30" customHeight="1">
      <c r="A4" s="16" t="s">
        <v>93</v>
      </c>
      <c r="B4" s="8" t="s">
        <v>327</v>
      </c>
      <c r="C4" s="8" t="s">
        <v>324</v>
      </c>
      <c r="D4" s="8" t="s">
        <v>328</v>
      </c>
      <c r="E4" s="16">
        <f>COUNTIF(TestCases!$E$2:$E$200,A4)</f>
        <v>7</v>
      </c>
      <c r="F4" s="16">
        <f>COUNTIFS(TestCases!$E$2:$E$200,A4,TestCases!$M$2:$M$200,"Pass")</f>
        <v>7</v>
      </c>
      <c r="G4" s="16">
        <f>COUNTIFS(TestCases!$E$2:$E$200,A4,TestCases!$M$2:$M$200,"Fail")</f>
        <v>0</v>
      </c>
      <c r="H4" s="16">
        <f>COUNTIFS(TestCases!$E$2:$E$200,A4,TestCases!$M$2:$M$200,"Blocked")</f>
        <v>0</v>
      </c>
      <c r="I4" s="16">
        <f>E4-F4-G4-H4</f>
        <v>0</v>
      </c>
      <c r="J4" s="8" t="str">
        <f>IF(E4=0,"No coverage",IF(G4&gt;0,"Failing",IF(F4=E4,"Covered and passed",IF(I4=E4,"Not run","In progress"))))</f>
        <v>Covered and passed</v>
      </c>
    </row>
    <row r="5" spans="1:10" ht="30" customHeight="1">
      <c r="A5" s="16" t="s">
        <v>101</v>
      </c>
      <c r="B5" s="8" t="s">
        <v>329</v>
      </c>
      <c r="C5" s="8" t="s">
        <v>324</v>
      </c>
      <c r="D5" s="8" t="s">
        <v>100</v>
      </c>
      <c r="E5" s="16">
        <f>COUNTIF(TestCases!$E$2:$E$200,A5)</f>
        <v>1</v>
      </c>
      <c r="F5" s="16">
        <f>COUNTIFS(TestCases!$E$2:$E$200,A5,TestCases!$M$2:$M$200,"Pass")</f>
        <v>1</v>
      </c>
      <c r="G5" s="16">
        <f>COUNTIFS(TestCases!$E$2:$E$200,A5,TestCases!$M$2:$M$200,"Fail")</f>
        <v>0</v>
      </c>
      <c r="H5" s="16">
        <f>COUNTIFS(TestCases!$E$2:$E$200,A5,TestCases!$M$2:$M$200,"Blocked")</f>
        <v>0</v>
      </c>
      <c r="I5" s="16">
        <f>E5-F5-G5-H5</f>
        <v>0</v>
      </c>
      <c r="J5" s="8" t="str">
        <f>IF(E5=0,"No coverage",IF(G5&gt;0,"Failing",IF(F5=E5,"Covered and passed",IF(I5=E5,"Not run","In progress"))))</f>
        <v>Covered and passed</v>
      </c>
    </row>
    <row r="6" spans="1:10" ht="30" customHeight="1">
      <c r="A6" s="16" t="s">
        <v>192</v>
      </c>
      <c r="B6" s="8" t="s">
        <v>330</v>
      </c>
      <c r="C6" s="8" t="s">
        <v>331</v>
      </c>
      <c r="D6" s="8" t="s">
        <v>332</v>
      </c>
      <c r="E6" s="16">
        <f>COUNTIF(TestCases!$E$2:$E$200,A6)</f>
        <v>5</v>
      </c>
      <c r="F6" s="16">
        <f>COUNTIFS(TestCases!$E$2:$E$200,A6,TestCases!$M$2:$M$200,"Pass")</f>
        <v>5</v>
      </c>
      <c r="G6" s="16">
        <f>COUNTIFS(TestCases!$E$2:$E$200,A6,TestCases!$M$2:$M$200,"Fail")</f>
        <v>0</v>
      </c>
      <c r="H6" s="16">
        <f>COUNTIFS(TestCases!$E$2:$E$200,A6,TestCases!$M$2:$M$200,"Blocked")</f>
        <v>0</v>
      </c>
      <c r="I6" s="16">
        <f>E6-F6-G6-H6</f>
        <v>0</v>
      </c>
      <c r="J6" s="8" t="str">
        <f>IF(E6=0,"No coverage",IF(G6&gt;0,"Failing",IF(F6=E6,"Covered and passed",IF(I6=E6,"Not run","In progress"))))</f>
        <v>Covered and passed</v>
      </c>
    </row>
    <row r="7" spans="1:10" ht="30" customHeight="1">
      <c r="A7" s="16" t="s">
        <v>229</v>
      </c>
      <c r="B7" s="8" t="s">
        <v>333</v>
      </c>
      <c r="C7" s="8" t="s">
        <v>331</v>
      </c>
      <c r="D7" s="8" t="s">
        <v>334</v>
      </c>
      <c r="E7" s="16">
        <f>COUNTIF(TestCases!$E$2:$E$200,A7)</f>
        <v>3</v>
      </c>
      <c r="F7" s="16">
        <f>COUNTIFS(TestCases!$E$2:$E$200,A7,TestCases!$M$2:$M$200,"Pass")</f>
        <v>2</v>
      </c>
      <c r="G7" s="16">
        <f>COUNTIFS(TestCases!$E$2:$E$200,A7,TestCases!$M$2:$M$200,"Fail")</f>
        <v>0</v>
      </c>
      <c r="H7" s="16">
        <f>COUNTIFS(TestCases!$E$2:$E$200,A7,TestCases!$M$2:$M$200,"Blocked")</f>
        <v>1</v>
      </c>
      <c r="I7" s="16">
        <f>E7-F7-G7-H7</f>
        <v>0</v>
      </c>
      <c r="J7" s="8" t="str">
        <f>IF(E7=0,"No coverage",IF(G7&gt;0,"Failing",IF(F7=E7,"Covered and passed",IF(I7=E7,"Not run","In progress"))))</f>
        <v>In progress</v>
      </c>
    </row>
    <row r="8" spans="1:10" ht="30" customHeight="1">
      <c r="A8" s="16" t="s">
        <v>267</v>
      </c>
      <c r="B8" s="8" t="s">
        <v>335</v>
      </c>
      <c r="C8" s="8" t="s">
        <v>331</v>
      </c>
      <c r="D8" s="8" t="s">
        <v>266</v>
      </c>
      <c r="E8" s="16">
        <f>COUNTIF(TestCases!$E$2:$E$200,A8)</f>
        <v>1</v>
      </c>
      <c r="F8" s="16">
        <f>COUNTIFS(TestCases!$E$2:$E$200,A8,TestCases!$M$2:$M$200,"Pass")</f>
        <v>0</v>
      </c>
      <c r="G8" s="16">
        <f>COUNTIFS(TestCases!$E$2:$E$200,A8,TestCases!$M$2:$M$200,"Fail")</f>
        <v>1</v>
      </c>
      <c r="H8" s="16">
        <f>COUNTIFS(TestCases!$E$2:$E$200,A8,TestCases!$M$2:$M$200,"Blocked")</f>
        <v>0</v>
      </c>
      <c r="I8" s="16">
        <f>E8-F8-G8-H8</f>
        <v>0</v>
      </c>
      <c r="J8" s="8" t="str">
        <f>IF(E8=0,"No coverage",IF(G8&gt;0,"Failing",IF(F8=E8,"Covered and passed",IF(I8=E8,"Not run","In progress"))))</f>
        <v>Failing</v>
      </c>
    </row>
    <row r="9" spans="1:10" ht="30" customHeight="1">
      <c r="A9" s="16" t="s">
        <v>211</v>
      </c>
      <c r="B9" s="8" t="s">
        <v>336</v>
      </c>
      <c r="C9" s="8" t="s">
        <v>331</v>
      </c>
      <c r="D9" s="8" t="s">
        <v>337</v>
      </c>
      <c r="E9" s="16">
        <f>COUNTIF(TestCases!$E$2:$E$200,A9)</f>
        <v>6</v>
      </c>
      <c r="F9" s="16">
        <f>COUNTIFS(TestCases!$E$2:$E$200,A9,TestCases!$M$2:$M$200,"Pass")</f>
        <v>6</v>
      </c>
      <c r="G9" s="16">
        <f>COUNTIFS(TestCases!$E$2:$E$200,A9,TestCases!$M$2:$M$200,"Fail")</f>
        <v>0</v>
      </c>
      <c r="H9" s="16">
        <f>COUNTIFS(TestCases!$E$2:$E$200,A9,TestCases!$M$2:$M$200,"Blocked")</f>
        <v>0</v>
      </c>
      <c r="I9" s="16">
        <f>E9-F9-G9-H9</f>
        <v>0</v>
      </c>
      <c r="J9" s="8" t="str">
        <f>IF(E9=0,"No coverage",IF(G9&gt;0,"Failing",IF(F9=E9,"Covered and passed",IF(I9=E9,"Not run","In progress"))))</f>
        <v>Covered and passed</v>
      </c>
    </row>
    <row r="10" spans="1:10" ht="30" customHeight="1">
      <c r="A10" s="16" t="s">
        <v>205</v>
      </c>
      <c r="B10" s="8" t="s">
        <v>338</v>
      </c>
      <c r="C10" s="8" t="s">
        <v>331</v>
      </c>
      <c r="D10" s="8" t="s">
        <v>204</v>
      </c>
      <c r="E10" s="16">
        <f>COUNTIF(TestCases!$E$2:$E$200,A10)</f>
        <v>1</v>
      </c>
      <c r="F10" s="16">
        <f>COUNTIFS(TestCases!$E$2:$E$200,A10,TestCases!$M$2:$M$200,"Pass")</f>
        <v>1</v>
      </c>
      <c r="G10" s="16">
        <f>COUNTIFS(TestCases!$E$2:$E$200,A10,TestCases!$M$2:$M$200,"Fail")</f>
        <v>0</v>
      </c>
      <c r="H10" s="16">
        <f>COUNTIFS(TestCases!$E$2:$E$200,A10,TestCases!$M$2:$M$200,"Blocked")</f>
        <v>0</v>
      </c>
      <c r="I10" s="16">
        <f>E10-F10-G10-H10</f>
        <v>0</v>
      </c>
      <c r="J10" s="8" t="str">
        <f>IF(E10=0,"No coverage",IF(G10&gt;0,"Failing",IF(F10=E10,"Covered and passed",IF(I10=E10,"Not run","In progress"))))</f>
        <v>Covered and passed</v>
      </c>
    </row>
    <row r="11" spans="1:10" ht="30" customHeight="1">
      <c r="A11" s="16" t="s">
        <v>78</v>
      </c>
      <c r="B11" s="8" t="s">
        <v>339</v>
      </c>
      <c r="C11" s="8" t="s">
        <v>331</v>
      </c>
      <c r="D11" s="8" t="s">
        <v>340</v>
      </c>
      <c r="E11" s="16">
        <f>COUNTIF(TestCases!$E$2:$E$200,A11)</f>
        <v>3</v>
      </c>
      <c r="F11" s="16">
        <f>COUNTIFS(TestCases!$E$2:$E$200,A11,TestCases!$M$2:$M$200,"Pass")</f>
        <v>3</v>
      </c>
      <c r="G11" s="16">
        <f>COUNTIFS(TestCases!$E$2:$E$200,A11,TestCases!$M$2:$M$200,"Fail")</f>
        <v>0</v>
      </c>
      <c r="H11" s="16">
        <f>COUNTIFS(TestCases!$E$2:$E$200,A11,TestCases!$M$2:$M$200,"Blocked")</f>
        <v>0</v>
      </c>
      <c r="I11" s="16">
        <f>E11-F11-G11-H11</f>
        <v>0</v>
      </c>
      <c r="J11" s="8" t="str">
        <f>IF(E11=0,"No coverage",IF(G11&gt;0,"Failing",IF(F11=E11,"Covered and passed",IF(I11=E11,"Not run","In progress"))))</f>
        <v>Covered and passed</v>
      </c>
    </row>
    <row r="12" spans="1:10" ht="30" customHeight="1">
      <c r="A12" s="16" t="s">
        <v>85</v>
      </c>
      <c r="B12" s="8" t="s">
        <v>341</v>
      </c>
      <c r="C12" s="8" t="s">
        <v>342</v>
      </c>
      <c r="D12" s="8" t="s">
        <v>343</v>
      </c>
      <c r="E12" s="16">
        <f>COUNTIF(TestCases!$E$2:$E$200,A12)</f>
        <v>2</v>
      </c>
      <c r="F12" s="16">
        <f>COUNTIFS(TestCases!$E$2:$E$200,A12,TestCases!$M$2:$M$200,"Pass")</f>
        <v>2</v>
      </c>
      <c r="G12" s="16">
        <f>COUNTIFS(TestCases!$E$2:$E$200,A12,TestCases!$M$2:$M$200,"Fail")</f>
        <v>0</v>
      </c>
      <c r="H12" s="16">
        <f>COUNTIFS(TestCases!$E$2:$E$200,A12,TestCases!$M$2:$M$200,"Blocked")</f>
        <v>0</v>
      </c>
      <c r="I12" s="16">
        <f>E12-F12-G12-H12</f>
        <v>0</v>
      </c>
      <c r="J12" s="8" t="str">
        <f>IF(E12=0,"No coverage",IF(G12&gt;0,"Failing",IF(F12=E12,"Covered and passed",IF(I12=E12,"Not run","In progress"))))</f>
        <v>Covered and passed</v>
      </c>
    </row>
    <row r="13" spans="1:10" ht="30" customHeight="1">
      <c r="A13" s="16" t="s">
        <v>246</v>
      </c>
      <c r="B13" s="8" t="s">
        <v>344</v>
      </c>
      <c r="C13" s="8" t="s">
        <v>345</v>
      </c>
      <c r="D13" s="8" t="s">
        <v>346</v>
      </c>
      <c r="E13" s="16">
        <f>COUNTIF(TestCases!$E$2:$E$200,A13)</f>
        <v>2</v>
      </c>
      <c r="F13" s="16">
        <f>COUNTIFS(TestCases!$E$2:$E$200,A13,TestCases!$M$2:$M$200,"Pass")</f>
        <v>2</v>
      </c>
      <c r="G13" s="16">
        <f>COUNTIFS(TestCases!$E$2:$E$200,A13,TestCases!$M$2:$M$200,"Fail")</f>
        <v>0</v>
      </c>
      <c r="H13" s="16">
        <f>COUNTIFS(TestCases!$E$2:$E$200,A13,TestCases!$M$2:$M$200,"Blocked")</f>
        <v>0</v>
      </c>
      <c r="I13" s="16">
        <f>E13-F13-G13-H13</f>
        <v>0</v>
      </c>
      <c r="J13" s="8" t="str">
        <f>IF(E13=0,"No coverage",IF(G13&gt;0,"Failing",IF(F13=E13,"Covered and passed",IF(I13=E13,"Not run","In progress"))))</f>
        <v>Covered and passed</v>
      </c>
    </row>
    <row r="14" spans="1:10" ht="30" customHeight="1">
      <c r="A14" s="16" t="s">
        <v>65</v>
      </c>
      <c r="B14" s="8" t="s">
        <v>347</v>
      </c>
      <c r="C14" s="8" t="s">
        <v>324</v>
      </c>
      <c r="D14" s="8" t="s">
        <v>348</v>
      </c>
      <c r="E14" s="16">
        <f>COUNTIF(TestCases!$E$2:$E$200,A14)</f>
        <v>3</v>
      </c>
      <c r="F14" s="16">
        <f>COUNTIFS(TestCases!$E$2:$E$200,A14,TestCases!$M$2:$M$200,"Pass")</f>
        <v>3</v>
      </c>
      <c r="G14" s="16">
        <f>COUNTIFS(TestCases!$E$2:$E$200,A14,TestCases!$M$2:$M$200,"Fail")</f>
        <v>0</v>
      </c>
      <c r="H14" s="16">
        <f>COUNTIFS(TestCases!$E$2:$E$200,A14,TestCases!$M$2:$M$200,"Blocked")</f>
        <v>0</v>
      </c>
      <c r="I14" s="16">
        <f>E14-F14-G14-H14</f>
        <v>0</v>
      </c>
      <c r="J14" s="8" t="str">
        <f>IF(E14=0,"No coverage",IF(G14&gt;0,"Failing",IF(F14=E14,"Covered and passed",IF(I14=E14,"Not run","In progress"))))</f>
        <v>Covered and passed</v>
      </c>
    </row>
    <row r="16" spans="1:10" ht="15" customHeight="1">
      <c r="A16" s="10" t="s">
        <v>349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
  <sheetViews>
    <sheetView zoomScaleNormal="100" workbookViewId="0">
      <pane ySplit="1" topLeftCell="A2" activePane="bottomLeft" state="frozen"/>
      <selection pane="bottomLeft" activeCell="C5" sqref="C5"/>
    </sheetView>
  </sheetViews>
  <sheetFormatPr defaultColWidth="8.7109375" defaultRowHeight="15"/>
  <cols>
    <col min="1" max="1" width="12" style="1" customWidth="1"/>
    <col min="2" max="2" width="50" style="1" customWidth="1"/>
    <col min="3" max="3" width="14" style="1" customWidth="1"/>
    <col min="4" max="5" width="11" style="1" customWidth="1"/>
    <col min="6" max="7" width="13" style="1" customWidth="1"/>
    <col min="8" max="8" width="40" style="1" customWidth="1"/>
  </cols>
  <sheetData>
    <row r="1" spans="1:8" ht="15" customHeight="1">
      <c r="A1" s="18" t="s">
        <v>350</v>
      </c>
      <c r="B1" s="18" t="s">
        <v>48</v>
      </c>
      <c r="C1" s="18" t="s">
        <v>351</v>
      </c>
      <c r="D1" s="18" t="s">
        <v>352</v>
      </c>
      <c r="E1" s="18" t="s">
        <v>47</v>
      </c>
      <c r="F1" s="18" t="s">
        <v>31</v>
      </c>
      <c r="G1" s="18" t="s">
        <v>353</v>
      </c>
      <c r="H1" s="18" t="s">
        <v>354</v>
      </c>
    </row>
    <row r="2" spans="1:8" ht="15" customHeight="1">
      <c r="A2" s="15" t="s">
        <v>273</v>
      </c>
      <c r="B2" s="15" t="s">
        <v>355</v>
      </c>
      <c r="C2" s="15" t="s">
        <v>266</v>
      </c>
      <c r="D2" s="15" t="s">
        <v>24</v>
      </c>
      <c r="E2" s="15" t="s">
        <v>26</v>
      </c>
      <c r="F2" s="15" t="s">
        <v>356</v>
      </c>
      <c r="G2" s="9" t="s">
        <v>63</v>
      </c>
      <c r="H2" s="15" t="s">
        <v>357</v>
      </c>
    </row>
    <row r="3" spans="1:8" ht="15" customHeight="1">
      <c r="A3" s="15"/>
      <c r="B3" s="15"/>
      <c r="C3" s="15"/>
      <c r="D3" s="15"/>
      <c r="E3" s="15"/>
      <c r="F3" s="15"/>
      <c r="G3" s="9"/>
      <c r="H3" s="15"/>
    </row>
    <row r="4" spans="1:8" ht="15" customHeight="1">
      <c r="A4" s="15"/>
      <c r="B4" s="15"/>
      <c r="C4" s="15"/>
      <c r="D4" s="15"/>
      <c r="E4" s="15"/>
      <c r="F4" s="15"/>
      <c r="G4" s="9"/>
      <c r="H4" s="15"/>
    </row>
    <row r="5" spans="1:8" ht="15" customHeight="1">
      <c r="A5" s="15"/>
      <c r="B5" s="15"/>
      <c r="C5" s="15"/>
      <c r="D5" s="15"/>
      <c r="E5" s="15"/>
      <c r="F5" s="15"/>
      <c r="G5" s="9"/>
      <c r="H5" s="15"/>
    </row>
    <row r="6" spans="1:8" ht="15" customHeight="1">
      <c r="A6" s="15"/>
      <c r="B6" s="15"/>
      <c r="C6" s="15"/>
      <c r="D6" s="15"/>
      <c r="E6" s="15"/>
      <c r="F6" s="15"/>
      <c r="G6" s="9"/>
      <c r="H6" s="15"/>
    </row>
    <row r="7" spans="1:8" ht="15" customHeight="1">
      <c r="A7" s="15"/>
      <c r="B7" s="15"/>
      <c r="C7" s="15"/>
      <c r="D7" s="15"/>
      <c r="E7" s="15"/>
      <c r="F7" s="15"/>
      <c r="G7" s="9"/>
      <c r="H7" s="15"/>
    </row>
    <row r="8" spans="1:8" ht="15" customHeight="1">
      <c r="A8" s="15"/>
      <c r="B8" s="15"/>
      <c r="C8" s="15"/>
      <c r="D8" s="15"/>
      <c r="E8" s="15"/>
      <c r="F8" s="15"/>
      <c r="G8" s="9"/>
      <c r="H8" s="15"/>
    </row>
    <row r="9" spans="1:8" ht="15" customHeight="1">
      <c r="A9" s="15"/>
      <c r="B9" s="15"/>
      <c r="C9" s="15"/>
      <c r="D9" s="15"/>
      <c r="E9" s="15"/>
      <c r="F9" s="15"/>
      <c r="G9" s="9"/>
      <c r="H9" s="15"/>
    </row>
    <row r="10" spans="1:8" ht="15" customHeight="1">
      <c r="A10" s="15"/>
      <c r="B10" s="15"/>
      <c r="C10" s="15"/>
      <c r="D10" s="15"/>
      <c r="E10" s="15"/>
      <c r="F10" s="15"/>
      <c r="G10" s="9"/>
      <c r="H10" s="15"/>
    </row>
    <row r="11" spans="1:8" ht="15" customHeight="1">
      <c r="A11" s="15"/>
      <c r="B11" s="15"/>
      <c r="C11" s="15"/>
      <c r="D11" s="15"/>
      <c r="E11" s="15"/>
      <c r="F11" s="15"/>
      <c r="G11" s="9"/>
      <c r="H11" s="15"/>
    </row>
    <row r="12" spans="1:8" ht="15" customHeight="1">
      <c r="A12" s="15"/>
      <c r="B12" s="15"/>
      <c r="C12" s="15"/>
      <c r="D12" s="15"/>
      <c r="E12" s="15"/>
      <c r="F12" s="15"/>
      <c r="G12" s="9"/>
      <c r="H12" s="15"/>
    </row>
    <row r="13" spans="1:8" ht="15" customHeight="1">
      <c r="A13" s="15"/>
      <c r="B13" s="15"/>
      <c r="C13" s="15"/>
      <c r="D13" s="15"/>
      <c r="E13" s="15"/>
      <c r="F13" s="15"/>
      <c r="G13" s="9"/>
      <c r="H13" s="15"/>
    </row>
    <row r="14" spans="1:8" ht="15" customHeight="1">
      <c r="A14" s="15"/>
      <c r="B14" s="15"/>
      <c r="C14" s="15"/>
      <c r="D14" s="15"/>
      <c r="E14" s="15"/>
      <c r="F14" s="15"/>
      <c r="G14" s="9"/>
      <c r="H14" s="15"/>
    </row>
    <row r="15" spans="1:8" ht="15" customHeight="1">
      <c r="A15" s="15"/>
      <c r="B15" s="15"/>
      <c r="C15" s="15"/>
      <c r="D15" s="15"/>
      <c r="E15" s="15"/>
      <c r="F15" s="15"/>
      <c r="G15" s="9"/>
      <c r="H15" s="15"/>
    </row>
    <row r="16" spans="1:8" ht="15" customHeight="1">
      <c r="A16" s="15"/>
      <c r="B16" s="15"/>
      <c r="C16" s="15"/>
      <c r="D16" s="15"/>
      <c r="E16" s="15"/>
      <c r="F16" s="15"/>
      <c r="G16" s="9"/>
      <c r="H16" s="15"/>
    </row>
    <row r="17" spans="1:8" ht="15" customHeight="1">
      <c r="A17" s="15"/>
      <c r="B17" s="15"/>
      <c r="C17" s="15"/>
      <c r="D17" s="15"/>
      <c r="E17" s="15"/>
      <c r="F17" s="15"/>
      <c r="G17" s="9"/>
      <c r="H17" s="15"/>
    </row>
    <row r="18" spans="1:8" ht="15" customHeight="1">
      <c r="A18" s="15"/>
      <c r="B18" s="15"/>
      <c r="C18" s="15"/>
      <c r="D18" s="15"/>
      <c r="E18" s="15"/>
      <c r="F18" s="15"/>
      <c r="G18" s="9"/>
      <c r="H18" s="15"/>
    </row>
    <row r="19" spans="1:8" ht="15" customHeight="1">
      <c r="A19" s="15"/>
      <c r="B19" s="15"/>
      <c r="C19" s="15"/>
      <c r="D19" s="15"/>
      <c r="E19" s="15"/>
      <c r="F19" s="15"/>
      <c r="G19" s="9"/>
      <c r="H19" s="15"/>
    </row>
    <row r="20" spans="1:8" ht="15" customHeight="1">
      <c r="A20" s="15"/>
      <c r="B20" s="15"/>
      <c r="C20" s="15"/>
      <c r="D20" s="15"/>
      <c r="E20" s="15"/>
      <c r="F20" s="15"/>
      <c r="G20" s="9"/>
      <c r="H20" s="15"/>
    </row>
    <row r="21" spans="1:8" ht="15" customHeight="1">
      <c r="A21" s="15"/>
      <c r="B21" s="15"/>
      <c r="C21" s="15"/>
      <c r="D21" s="15"/>
      <c r="E21" s="15"/>
      <c r="F21" s="15"/>
      <c r="G21" s="9"/>
      <c r="H21" s="15"/>
    </row>
    <row r="22" spans="1:8" ht="15" customHeight="1">
      <c r="A22" s="15"/>
      <c r="B22" s="15"/>
      <c r="C22" s="15"/>
      <c r="D22" s="15"/>
      <c r="E22" s="15"/>
      <c r="F22" s="15"/>
      <c r="G22" s="9"/>
      <c r="H22" s="15"/>
    </row>
    <row r="23" spans="1:8" ht="15" customHeight="1">
      <c r="A23" s="15"/>
      <c r="B23" s="15"/>
      <c r="C23" s="15"/>
      <c r="D23" s="15"/>
      <c r="E23" s="15"/>
      <c r="F23" s="15"/>
      <c r="G23" s="9"/>
      <c r="H23" s="15"/>
    </row>
    <row r="24" spans="1:8" ht="15" customHeight="1">
      <c r="A24" s="15"/>
      <c r="B24" s="15"/>
      <c r="C24" s="15"/>
      <c r="D24" s="15"/>
      <c r="E24" s="15"/>
      <c r="F24" s="15"/>
      <c r="G24" s="9"/>
      <c r="H24" s="15"/>
    </row>
    <row r="25" spans="1:8" ht="15" customHeight="1">
      <c r="A25" s="15"/>
      <c r="B25" s="15"/>
      <c r="C25" s="15"/>
      <c r="D25" s="15"/>
      <c r="E25" s="15"/>
      <c r="F25" s="15"/>
      <c r="G25" s="9"/>
      <c r="H25" s="15"/>
    </row>
    <row r="26" spans="1:8" ht="15" customHeight="1">
      <c r="A26" s="15"/>
      <c r="B26" s="15"/>
      <c r="C26" s="15"/>
      <c r="D26" s="15"/>
      <c r="E26" s="15"/>
      <c r="F26" s="15"/>
      <c r="G26" s="9"/>
      <c r="H26" s="15"/>
    </row>
    <row r="27" spans="1:8" ht="15" customHeight="1">
      <c r="A27" s="15"/>
      <c r="B27" s="15"/>
      <c r="C27" s="15"/>
      <c r="D27" s="15"/>
      <c r="E27" s="15"/>
      <c r="F27" s="15"/>
      <c r="G27" s="9"/>
      <c r="H27" s="15"/>
    </row>
    <row r="28" spans="1:8" ht="15" customHeight="1">
      <c r="A28" s="15"/>
      <c r="B28" s="15"/>
      <c r="C28" s="15"/>
      <c r="D28" s="15"/>
      <c r="E28" s="15"/>
      <c r="F28" s="15"/>
      <c r="G28" s="9"/>
      <c r="H28" s="15"/>
    </row>
    <row r="29" spans="1:8" ht="15" customHeight="1">
      <c r="A29" s="15"/>
      <c r="B29" s="15"/>
      <c r="C29" s="15"/>
      <c r="D29" s="15"/>
      <c r="E29" s="15"/>
      <c r="F29" s="15"/>
      <c r="G29" s="9"/>
      <c r="H29" s="15"/>
    </row>
    <row r="30" spans="1:8" ht="15" customHeight="1">
      <c r="A30" s="15"/>
      <c r="B30" s="15"/>
      <c r="C30" s="15"/>
      <c r="D30" s="15"/>
      <c r="E30" s="15"/>
      <c r="F30" s="15"/>
      <c r="G30" s="9"/>
      <c r="H30" s="15"/>
    </row>
    <row r="31" spans="1:8" ht="15" customHeight="1">
      <c r="A31" s="15"/>
      <c r="B31" s="15"/>
      <c r="C31" s="15"/>
      <c r="D31" s="15"/>
      <c r="E31" s="15"/>
      <c r="F31" s="15"/>
      <c r="G31" s="9"/>
      <c r="H31" s="15"/>
    </row>
    <row r="32" spans="1:8" ht="15" customHeight="1">
      <c r="A32" s="15"/>
      <c r="B32" s="15"/>
      <c r="C32" s="15"/>
      <c r="D32" s="15"/>
      <c r="E32" s="15"/>
      <c r="F32" s="15"/>
      <c r="G32" s="9"/>
      <c r="H32" s="15"/>
    </row>
    <row r="33" spans="1:8" ht="15" customHeight="1">
      <c r="A33" s="15"/>
      <c r="B33" s="15"/>
      <c r="C33" s="15"/>
      <c r="D33" s="15"/>
      <c r="E33" s="15"/>
      <c r="F33" s="15"/>
      <c r="G33" s="9"/>
      <c r="H33" s="15"/>
    </row>
    <row r="34" spans="1:8" ht="15" customHeight="1">
      <c r="A34" s="15"/>
      <c r="B34" s="15"/>
      <c r="C34" s="15"/>
      <c r="D34" s="15"/>
      <c r="E34" s="15"/>
      <c r="F34" s="15"/>
      <c r="G34" s="9"/>
      <c r="H34" s="15"/>
    </row>
    <row r="35" spans="1:8" ht="15" customHeight="1">
      <c r="A35" s="15"/>
      <c r="B35" s="15"/>
      <c r="C35" s="15"/>
      <c r="D35" s="15"/>
      <c r="E35" s="15"/>
      <c r="F35" s="15"/>
      <c r="G35" s="9"/>
      <c r="H35" s="15"/>
    </row>
    <row r="36" spans="1:8" ht="15" customHeight="1">
      <c r="A36" s="15"/>
      <c r="B36" s="15"/>
      <c r="C36" s="15"/>
      <c r="D36" s="15"/>
      <c r="E36" s="15"/>
      <c r="F36" s="15"/>
      <c r="G36" s="9"/>
      <c r="H36" s="15"/>
    </row>
    <row r="37" spans="1:8" ht="15" customHeight="1">
      <c r="A37" s="15"/>
      <c r="B37" s="15"/>
      <c r="C37" s="15"/>
      <c r="D37" s="15"/>
      <c r="E37" s="15"/>
      <c r="F37" s="15"/>
      <c r="G37" s="9"/>
      <c r="H37" s="15"/>
    </row>
    <row r="38" spans="1:8" ht="15" customHeight="1">
      <c r="A38" s="15"/>
      <c r="B38" s="15"/>
      <c r="C38" s="15"/>
      <c r="D38" s="15"/>
      <c r="E38" s="15"/>
      <c r="F38" s="15"/>
      <c r="G38" s="9"/>
      <c r="H38" s="15"/>
    </row>
    <row r="39" spans="1:8" ht="15" customHeight="1">
      <c r="A39" s="15"/>
      <c r="B39" s="15"/>
      <c r="C39" s="15"/>
      <c r="D39" s="15"/>
      <c r="E39" s="15"/>
      <c r="F39" s="15"/>
      <c r="G39" s="9"/>
      <c r="H39" s="15"/>
    </row>
    <row r="40" spans="1:8" ht="15" customHeight="1">
      <c r="A40" s="15"/>
      <c r="B40" s="15"/>
      <c r="C40" s="15"/>
      <c r="D40" s="15"/>
      <c r="E40" s="15"/>
      <c r="F40" s="15"/>
      <c r="G40" s="9"/>
      <c r="H40" s="15"/>
    </row>
    <row r="41" spans="1:8" ht="15" customHeight="1">
      <c r="A41" s="15"/>
      <c r="B41" s="15"/>
      <c r="C41" s="15"/>
      <c r="D41" s="15"/>
      <c r="E41" s="15"/>
      <c r="F41" s="15"/>
      <c r="G41" s="9"/>
      <c r="H41" s="15"/>
    </row>
  </sheetData>
  <dataValidations count="3">
    <dataValidation type="list" allowBlank="1" sqref="D2:D200" xr:uid="{00000000-0002-0000-0300-000000000000}">
      <formula1>"Critical,High,Medium,Low"</formula1>
      <formula2>0</formula2>
    </dataValidation>
    <dataValidation type="list" allowBlank="1" sqref="E2:E200" xr:uid="{00000000-0002-0000-0300-000001000000}">
      <formula1>"Highest,High,Medium,Low"</formula1>
      <formula2>0</formula2>
    </dataValidation>
    <dataValidation type="list" allowBlank="1" sqref="F2:F200" xr:uid="{00000000-0002-0000-0300-000002000000}">
      <formula1>"Open,In Progress,Fixed,Closed"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tabSelected="1" topLeftCell="A42" zoomScaleNormal="100" workbookViewId="0">
      <selection activeCell="H51" sqref="H51"/>
    </sheetView>
  </sheetViews>
  <sheetFormatPr defaultColWidth="8.7109375" defaultRowHeight="15"/>
  <cols>
    <col min="1" max="1" width="34" style="1" customWidth="1"/>
    <col min="2" max="2" width="22" style="1" customWidth="1"/>
    <col min="3" max="6" width="12" style="1" customWidth="1"/>
    <col min="7" max="7" width="14" style="1" customWidth="1"/>
  </cols>
  <sheetData>
    <row r="1" spans="1:7" ht="17.25" customHeight="1">
      <c r="A1" s="2" t="s">
        <v>358</v>
      </c>
    </row>
    <row r="3" spans="1:7" ht="15" customHeight="1">
      <c r="A3" s="3" t="s">
        <v>359</v>
      </c>
    </row>
    <row r="4" spans="1:7" ht="15" customHeight="1">
      <c r="A4" s="17" t="s">
        <v>360</v>
      </c>
      <c r="B4" s="19" t="s">
        <v>361</v>
      </c>
      <c r="C4" s="19"/>
      <c r="D4" s="19"/>
      <c r="E4" s="19"/>
    </row>
    <row r="5" spans="1:7" ht="15" customHeight="1">
      <c r="A5" s="17" t="s">
        <v>362</v>
      </c>
      <c r="B5" s="19" t="s">
        <v>363</v>
      </c>
      <c r="C5" s="19"/>
      <c r="D5" s="19"/>
      <c r="E5" s="19"/>
    </row>
    <row r="6" spans="1:7" ht="15" customHeight="1">
      <c r="A6" s="17" t="s">
        <v>364</v>
      </c>
      <c r="B6" s="19" t="s">
        <v>365</v>
      </c>
      <c r="C6" s="19"/>
      <c r="D6" s="19"/>
      <c r="E6" s="19"/>
    </row>
    <row r="7" spans="1:7" ht="15" customHeight="1">
      <c r="A7" s="17" t="s">
        <v>366</v>
      </c>
      <c r="B7" s="19" t="s">
        <v>367</v>
      </c>
      <c r="C7" s="19"/>
      <c r="D7" s="19"/>
      <c r="E7" s="19"/>
    </row>
    <row r="8" spans="1:7" ht="15" customHeight="1">
      <c r="A8" s="17" t="s">
        <v>368</v>
      </c>
      <c r="B8" s="19" t="s">
        <v>369</v>
      </c>
      <c r="C8" s="19"/>
      <c r="D8" s="19"/>
      <c r="E8" s="19"/>
    </row>
    <row r="9" spans="1:7" ht="15" customHeight="1">
      <c r="A9" s="17" t="s">
        <v>370</v>
      </c>
      <c r="B9" s="19" t="s">
        <v>371</v>
      </c>
      <c r="C9" s="19"/>
      <c r="D9" s="19"/>
      <c r="E9" s="19"/>
    </row>
    <row r="10" spans="1:7" ht="15" customHeight="1">
      <c r="A10" s="17" t="s">
        <v>372</v>
      </c>
      <c r="B10" s="19" t="s">
        <v>373</v>
      </c>
      <c r="C10" s="19"/>
      <c r="D10" s="19"/>
      <c r="E10" s="19"/>
    </row>
    <row r="11" spans="1:7" ht="15" customHeight="1">
      <c r="A11" s="10" t="s">
        <v>374</v>
      </c>
    </row>
    <row r="13" spans="1:7" ht="15" customHeight="1">
      <c r="A13" s="3" t="s">
        <v>375</v>
      </c>
    </row>
    <row r="14" spans="1:7" ht="15" customHeight="1">
      <c r="A14" s="18" t="s">
        <v>376</v>
      </c>
      <c r="B14" s="18"/>
      <c r="C14" s="18" t="s">
        <v>318</v>
      </c>
      <c r="D14" s="18" t="s">
        <v>13</v>
      </c>
      <c r="E14" s="18" t="s">
        <v>15</v>
      </c>
      <c r="F14" s="18" t="s">
        <v>17</v>
      </c>
      <c r="G14" s="18" t="s">
        <v>377</v>
      </c>
    </row>
    <row r="15" spans="1:7" ht="15" customHeight="1">
      <c r="A15" s="17" t="s">
        <v>378</v>
      </c>
      <c r="B15" s="8"/>
      <c r="C15" s="16">
        <f>COUNTA(TestCases!$A$2:$A$200)</f>
        <v>41</v>
      </c>
      <c r="D15" s="16">
        <f>COUNTIF(TestCases!$M$2:$M$200,"Pass")</f>
        <v>39</v>
      </c>
      <c r="E15" s="16">
        <f>COUNTIF(TestCases!$M$2:$M$200,"Fail")</f>
        <v>1</v>
      </c>
      <c r="F15" s="16">
        <f>COUNTIF(TestCases!$M$2:$M$200,"Blocked")</f>
        <v>1</v>
      </c>
      <c r="G15" s="16">
        <f>C15-D15-E15-F15</f>
        <v>0</v>
      </c>
    </row>
    <row r="16" spans="1:7" ht="15" customHeight="1">
      <c r="A16" s="17" t="s">
        <v>379</v>
      </c>
      <c r="B16" s="8"/>
      <c r="C16" s="16">
        <f>COUNTIF(TestCases!$C$2:$C$200,"Login")</f>
        <v>20</v>
      </c>
      <c r="D16" s="16">
        <f>COUNTIFS(TestCases!$C$2:$C$200,"Login",TestCases!$M$2:$M$200,"Pass")</f>
        <v>20</v>
      </c>
      <c r="E16" s="16">
        <f>COUNTIFS(TestCases!$C$2:$C$200,"Login",TestCases!$M$2:$M$200,"Fail")</f>
        <v>0</v>
      </c>
      <c r="F16" s="16">
        <f>COUNTIFS(TestCases!$C$2:$C$200,"Login",TestCases!$M$2:$M$200,"Blocked")</f>
        <v>0</v>
      </c>
      <c r="G16" s="16">
        <f>C16-D16-E16-F16</f>
        <v>0</v>
      </c>
    </row>
    <row r="17" spans="1:7" ht="15" customHeight="1">
      <c r="A17" s="17" t="s">
        <v>380</v>
      </c>
      <c r="B17" s="8"/>
      <c r="C17" s="16">
        <f>COUNTIF(TestCases!$C$2:$C$200,"Home")</f>
        <v>21</v>
      </c>
      <c r="D17" s="16">
        <f>COUNTIFS(TestCases!$C$2:$C$200,"Home",TestCases!$M$2:$M$200,"Pass")</f>
        <v>19</v>
      </c>
      <c r="E17" s="16">
        <f>COUNTIFS(TestCases!$C$2:$C$200,"Home",TestCases!$M$2:$M$200,"Fail")</f>
        <v>1</v>
      </c>
      <c r="F17" s="16">
        <f>COUNTIFS(TestCases!$C$2:$C$200,"Home",TestCases!$M$2:$M$200,"Blocked")</f>
        <v>1</v>
      </c>
      <c r="G17" s="16">
        <f>C17-D17-E17-F17</f>
        <v>0</v>
      </c>
    </row>
    <row r="18" spans="1:7" ht="15" customHeight="1">
      <c r="A18" s="17" t="s">
        <v>381</v>
      </c>
      <c r="B18" s="8"/>
      <c r="C18" s="16">
        <f>COUNTIF(TestCases!$D$2:$D$200,"GUI")</f>
        <v>11</v>
      </c>
      <c r="D18" s="16">
        <f>COUNTIFS(TestCases!$D$2:$D$200,"GUI",TestCases!$M$2:$M$200,"Pass")</f>
        <v>11</v>
      </c>
      <c r="E18" s="16">
        <f>COUNTIFS(TestCases!$D$2:$D$200,"GUI",TestCases!$M$2:$M$200,"Fail")</f>
        <v>0</v>
      </c>
      <c r="F18" s="16">
        <f>COUNTIFS(TestCases!$D$2:$D$200,"GUI",TestCases!$M$2:$M$200,"Blocked")</f>
        <v>0</v>
      </c>
      <c r="G18" s="16">
        <f>C18-D18-E18-F18</f>
        <v>0</v>
      </c>
    </row>
    <row r="19" spans="1:7" ht="15" customHeight="1">
      <c r="A19" s="17" t="s">
        <v>382</v>
      </c>
      <c r="B19" s="8"/>
      <c r="C19" s="16">
        <f>COUNTIF(TestCases!$D$2:$D$200,"Positive")</f>
        <v>13</v>
      </c>
      <c r="D19" s="16">
        <f>COUNTIFS(TestCases!$D$2:$D$200,"Positive",TestCases!$M$2:$M$200,"Pass")</f>
        <v>12</v>
      </c>
      <c r="E19" s="16">
        <f>COUNTIFS(TestCases!$D$2:$D$200,"Positive",TestCases!$M$2:$M$200,"Fail")</f>
        <v>1</v>
      </c>
      <c r="F19" s="16">
        <f>COUNTIFS(TestCases!$D$2:$D$200,"Positive",TestCases!$M$2:$M$200,"Blocked")</f>
        <v>0</v>
      </c>
      <c r="G19" s="16">
        <f>C19-D19-E19-F19</f>
        <v>0</v>
      </c>
    </row>
    <row r="20" spans="1:7" ht="15" customHeight="1">
      <c r="A20" s="17" t="s">
        <v>383</v>
      </c>
      <c r="B20" s="8"/>
      <c r="C20" s="16">
        <f>COUNTIF(TestCases!$D$2:$D$200,"Negative")</f>
        <v>11</v>
      </c>
      <c r="D20" s="16">
        <f>COUNTIFS(TestCases!$D$2:$D$200,"Negative",TestCases!$M$2:$M$200,"Pass")</f>
        <v>10</v>
      </c>
      <c r="E20" s="16">
        <f>COUNTIFS(TestCases!$D$2:$D$200,"Negative",TestCases!$M$2:$M$200,"Fail")</f>
        <v>0</v>
      </c>
      <c r="F20" s="16">
        <f>COUNTIFS(TestCases!$D$2:$D$200,"Negative",TestCases!$M$2:$M$200,"Blocked")</f>
        <v>1</v>
      </c>
      <c r="G20" s="16">
        <f>C20-D20-E20-F20</f>
        <v>0</v>
      </c>
    </row>
    <row r="21" spans="1:7" ht="15" customHeight="1">
      <c r="A21" s="17" t="s">
        <v>384</v>
      </c>
      <c r="B21" s="8"/>
      <c r="C21" s="16">
        <f>COUNTIF(TestCases!$D$2:$D$200,"General Mobile")</f>
        <v>6</v>
      </c>
      <c r="D21" s="16">
        <f>COUNTIFS(TestCases!$D$2:$D$200,"General Mobile",TestCases!$M$2:$M$200,"Pass")</f>
        <v>6</v>
      </c>
      <c r="E21" s="16">
        <f>COUNTIFS(TestCases!$D$2:$D$200,"General Mobile",TestCases!$M$2:$M$200,"Fail")</f>
        <v>0</v>
      </c>
      <c r="F21" s="16">
        <f>COUNTIFS(TestCases!$D$2:$D$200,"General Mobile",TestCases!$M$2:$M$200,"Blocked")</f>
        <v>0</v>
      </c>
      <c r="G21" s="16">
        <f>C21-D21-E21-F21</f>
        <v>0</v>
      </c>
    </row>
    <row r="22" spans="1:7" ht="15" customHeight="1">
      <c r="A22" s="17" t="s">
        <v>385</v>
      </c>
      <c r="B22" s="8"/>
      <c r="C22" s="11">
        <f>IF((D15+E15+F15)=0,0,D15/(D15+E15+F15))</f>
        <v>0.95121951219512191</v>
      </c>
    </row>
    <row r="23" spans="1:7" ht="15" customHeight="1">
      <c r="A23" s="17" t="s">
        <v>386</v>
      </c>
      <c r="B23" s="8"/>
      <c r="C23" s="11">
        <f>IF(C15=0,0,(D15+E15+F15)/C15)</f>
        <v>1</v>
      </c>
    </row>
    <row r="25" spans="1:7" ht="15" customHeight="1">
      <c r="A25" s="3" t="s">
        <v>387</v>
      </c>
    </row>
    <row r="26" spans="1:7" ht="15" customHeight="1">
      <c r="A26" s="18" t="s">
        <v>352</v>
      </c>
      <c r="B26" s="18"/>
      <c r="C26" s="18" t="s">
        <v>318</v>
      </c>
      <c r="D26" s="18" t="s">
        <v>388</v>
      </c>
    </row>
    <row r="27" spans="1:7" ht="15" customHeight="1">
      <c r="A27" s="17" t="s">
        <v>20</v>
      </c>
      <c r="B27" s="8"/>
      <c r="C27" s="16">
        <f>COUNTIF(DefectLog!$D$2:$D$200,"Critical")</f>
        <v>0</v>
      </c>
      <c r="D27" s="16">
        <f>COUNTIFS(DefectLog!$D$2:$D$200,"Critical",DefectLog!$F$2:$F$200,"&lt;&gt;Closed")</f>
        <v>0</v>
      </c>
    </row>
    <row r="28" spans="1:7" ht="15" customHeight="1">
      <c r="A28" s="17" t="s">
        <v>22</v>
      </c>
      <c r="B28" s="8"/>
      <c r="C28" s="16">
        <f>COUNTIF(DefectLog!$D$2:$D$200,"High")</f>
        <v>0</v>
      </c>
      <c r="D28" s="16">
        <f>COUNTIFS(DefectLog!$D$2:$D$200,"High",DefectLog!$F$2:$F$200,"&lt;&gt;Closed")</f>
        <v>0</v>
      </c>
    </row>
    <row r="29" spans="1:7" ht="15" customHeight="1">
      <c r="A29" s="17" t="s">
        <v>24</v>
      </c>
      <c r="B29" s="8"/>
      <c r="C29" s="16">
        <f>COUNTIF(DefectLog!$D$2:$D$200,"Medium")</f>
        <v>1</v>
      </c>
      <c r="D29" s="16">
        <f>COUNTIFS(DefectLog!$D$2:$D$200,"Medium",DefectLog!$F$2:$F$200,"&lt;&gt;Closed")</f>
        <v>1</v>
      </c>
    </row>
    <row r="30" spans="1:7" ht="15" customHeight="1">
      <c r="A30" s="17" t="s">
        <v>26</v>
      </c>
      <c r="B30" s="8"/>
      <c r="C30" s="16">
        <f>COUNTIF(DefectLog!$D$2:$D$200,"Low")</f>
        <v>0</v>
      </c>
      <c r="D30" s="16">
        <f>COUNTIFS(DefectLog!$D$2:$D$200,"Low",DefectLog!$F$2:$F$200,"&lt;&gt;Closed")</f>
        <v>0</v>
      </c>
    </row>
    <row r="32" spans="1:7" ht="15" customHeight="1">
      <c r="A32" s="3" t="s">
        <v>389</v>
      </c>
    </row>
    <row r="33" spans="1:7" ht="15" customHeight="1">
      <c r="A33" s="18" t="s">
        <v>390</v>
      </c>
      <c r="B33" s="18" t="s">
        <v>391</v>
      </c>
      <c r="C33" s="18" t="s">
        <v>392</v>
      </c>
      <c r="D33" s="20" t="s">
        <v>393</v>
      </c>
      <c r="E33" s="20"/>
    </row>
    <row r="34" spans="1:7" ht="15" customHeight="1">
      <c r="A34" s="17" t="s">
        <v>394</v>
      </c>
      <c r="B34" s="12">
        <v>0.9</v>
      </c>
      <c r="C34" s="11">
        <f>C22</f>
        <v>0.95121951219512191</v>
      </c>
      <c r="D34" s="21" t="str">
        <f>IF(C34&gt;=B34,"Met","Not met")</f>
        <v>Met</v>
      </c>
      <c r="E34" s="21"/>
    </row>
    <row r="35" spans="1:7" ht="15" customHeight="1">
      <c r="A35" s="17" t="s">
        <v>395</v>
      </c>
      <c r="B35" s="13">
        <v>1</v>
      </c>
      <c r="C35" s="11">
        <f>C23</f>
        <v>1</v>
      </c>
      <c r="D35" s="21" t="str">
        <f>IF(C35&gt;=B35,"Met","Not met")</f>
        <v>Met</v>
      </c>
      <c r="E35" s="21"/>
    </row>
    <row r="36" spans="1:7" ht="15" customHeight="1">
      <c r="A36" s="17" t="s">
        <v>396</v>
      </c>
      <c r="B36" s="14">
        <v>0</v>
      </c>
      <c r="C36" s="14">
        <f>D27+D28</f>
        <v>0</v>
      </c>
      <c r="D36" s="21" t="str">
        <f>IF(C36&lt;=B36,"Met","Not met")</f>
        <v>Met</v>
      </c>
      <c r="E36" s="21"/>
    </row>
    <row r="37" spans="1:7" ht="15" customHeight="1">
      <c r="A37" s="17" t="s">
        <v>397</v>
      </c>
      <c r="B37" s="14">
        <v>0</v>
      </c>
      <c r="C37" s="14">
        <f>COUNTIFS(TestCases!$M$2:$M$200,"Fail",TestCases!$O$2:$O$200,"")</f>
        <v>0</v>
      </c>
      <c r="D37" s="21" t="str">
        <f>IF(C37&lt;=B37,"Met","Not met")</f>
        <v>Met</v>
      </c>
      <c r="E37" s="21"/>
    </row>
    <row r="38" spans="1:7" ht="23.25" customHeight="1">
      <c r="A38" s="17" t="s">
        <v>398</v>
      </c>
      <c r="B38" s="14">
        <v>0</v>
      </c>
      <c r="C38" s="14">
        <f>COUNTIF(Traceability!$E$2:$E$14,0)</f>
        <v>0</v>
      </c>
      <c r="D38" s="21" t="str">
        <f>IF(C38&lt;=B38,"Met","Not met")</f>
        <v>Met</v>
      </c>
      <c r="E38" s="21"/>
    </row>
    <row r="39" spans="1:7" ht="15" customHeight="1">
      <c r="A39" s="17" t="s">
        <v>399</v>
      </c>
      <c r="B39" s="8"/>
      <c r="C39" s="22" t="str">
        <f>IF(COUNTIF(D34:D38,"Met")=ROWS(D34:D38),"Exit criteria met","Exit criteria not met")</f>
        <v>Exit criteria met</v>
      </c>
      <c r="D39" s="22"/>
      <c r="E39" s="22"/>
    </row>
    <row r="41" spans="1:7" ht="15" customHeight="1">
      <c r="A41" s="3" t="s">
        <v>400</v>
      </c>
    </row>
    <row r="42" spans="1:7" ht="42" customHeight="1">
      <c r="A42" s="17" t="s">
        <v>401</v>
      </c>
      <c r="B42" s="19" t="s">
        <v>402</v>
      </c>
      <c r="C42" s="19"/>
      <c r="D42" s="19"/>
      <c r="E42" s="19"/>
      <c r="F42" s="19"/>
      <c r="G42" s="19"/>
    </row>
    <row r="43" spans="1:7" ht="80.25" customHeight="1">
      <c r="A43" s="17" t="s">
        <v>403</v>
      </c>
      <c r="B43" s="19" t="s">
        <v>404</v>
      </c>
      <c r="C43" s="19"/>
      <c r="D43" s="19"/>
      <c r="E43" s="19"/>
      <c r="F43" s="19"/>
      <c r="G43" s="19"/>
    </row>
    <row r="44" spans="1:7" ht="42" customHeight="1">
      <c r="A44" s="17" t="s">
        <v>405</v>
      </c>
      <c r="B44" s="23" t="s">
        <v>406</v>
      </c>
      <c r="C44" s="24"/>
      <c r="D44" s="24"/>
      <c r="E44" s="24"/>
      <c r="F44" s="24"/>
      <c r="G44" s="25"/>
    </row>
    <row r="45" spans="1:7" ht="42" customHeight="1">
      <c r="A45" s="17" t="s">
        <v>407</v>
      </c>
      <c r="B45" s="19" t="s">
        <v>408</v>
      </c>
      <c r="C45" s="19"/>
      <c r="D45" s="19"/>
      <c r="E45" s="19"/>
      <c r="F45" s="19"/>
      <c r="G45" s="19"/>
    </row>
    <row r="46" spans="1:7" ht="42" customHeight="1">
      <c r="A46" s="17" t="s">
        <v>409</v>
      </c>
      <c r="B46" s="19" t="s">
        <v>410</v>
      </c>
      <c r="C46" s="19"/>
      <c r="D46" s="19"/>
      <c r="E46" s="19"/>
      <c r="F46" s="19"/>
      <c r="G46" s="19"/>
    </row>
  </sheetData>
  <mergeCells count="19">
    <mergeCell ref="B43:G43"/>
    <mergeCell ref="B44:G44"/>
    <mergeCell ref="B45:G45"/>
    <mergeCell ref="B46:G46"/>
    <mergeCell ref="D36:E36"/>
    <mergeCell ref="D37:E37"/>
    <mergeCell ref="D38:E38"/>
    <mergeCell ref="C39:E39"/>
    <mergeCell ref="B42:G42"/>
    <mergeCell ref="B9:E9"/>
    <mergeCell ref="B10:E10"/>
    <mergeCell ref="D33:E33"/>
    <mergeCell ref="D34:E34"/>
    <mergeCell ref="D35:E35"/>
    <mergeCell ref="B4:E4"/>
    <mergeCell ref="B5:E5"/>
    <mergeCell ref="B6:E6"/>
    <mergeCell ref="B7:E7"/>
    <mergeCell ref="B8:E8"/>
  </mergeCells>
  <pageMargins left="0.75" right="0.75" top="1" bottom="1" header="0.511811023622047" footer="0.511811023622047"/>
  <pageSetup paperSize="9" fitToWidth="0"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2026-10-16T12:20:40Z</dcterms:created>
  <dcterms:modified xsi:type="dcterms:W3CDTF">2026-10-17T13:24:56Z</dcterms:modified>
  <cp:category/>
  <cp:contentStatus/>
</cp:coreProperties>
</file>